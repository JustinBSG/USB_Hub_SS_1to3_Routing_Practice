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s" sheetId="1" state="visible" r:id="rId3"/>
    <sheet name="BOM" sheetId="2" state="visible" r:id="rId4"/>
    <sheet name="Counts" sheetId="3" state="visible" r:id="rId5"/>
  </sheets>
  <definedNames>
    <definedName function="false" hidden="false" localSheetId="1" name="_xlnm.Print_Titles" vbProcedure="false">BOM!$1:$4</definedName>
    <definedName function="false" hidden="true" localSheetId="1" name="_xlnm._FilterDatabase" vbProcedure="false">BOM!$A$4:$K$36</definedName>
    <definedName function="false" hidden="false" localSheetId="0" name="_xlnm.Print_Titles" vbProcedure="false">Ports!$1:$2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<sst xmlns="http://schemas.openxmlformats.org/spreadsheetml/2006/main" count="314" uniqueCount="209">
  <si>
    <t xml:space="preserve">USB-C SuperSpeed hub  —  4 ports only  (1 in + 3 out)</t>
  </si>
  <si>
    <t xml:space="preserve">Connectors on the board: four Type-C receptacles. No barrel jack, no USB-A, no extra PD inlet. Hardware-only (no MCU). Power comes from the input Type-C VBUS (host 5 V).</t>
  </si>
  <si>
    <t xml:space="preserve">Ref</t>
  </si>
  <si>
    <t xml:space="preserve">Port</t>
  </si>
  <si>
    <t xml:space="preserve">Connector</t>
  </si>
  <si>
    <t xml:space="preserve">Role</t>
  </si>
  <si>
    <t xml:space="preserve">Power</t>
  </si>
  <si>
    <t xml:space="preserve">J1</t>
  </si>
  <si>
    <t xml:space="preserve">UP0  INPUT</t>
  </si>
  <si>
    <t xml:space="preserve">Type-C 24-pin mid-mount 5 A</t>
  </si>
  <si>
    <t xml:space="preserve">UFP to host  +  SuperSpeed uplink</t>
  </si>
  <si>
    <t xml:space="preserve">Sink 5 V from host. HD3SS3220 PORT=GND (UFP). No 20 V. Does not charge the host.</t>
  </si>
  <si>
    <t xml:space="preserve">J2</t>
  </si>
  <si>
    <t xml:space="preserve">DS1 OUTPUT</t>
  </si>
  <si>
    <t xml:space="preserve">DFP to device  +  SuperSpeed</t>
  </si>
  <si>
    <t xml:space="preserve">Source 5 V, ILIM 1.0 A (TPS2553). HD3SS3220 PORT=VDD (DFP), CURRENT_MODE=3 A advert.</t>
  </si>
  <si>
    <t xml:space="preserve">J3</t>
  </si>
  <si>
    <t xml:space="preserve">DS2 OUTPUT</t>
  </si>
  <si>
    <t xml:space="preserve">Same as DS1.</t>
  </si>
  <si>
    <t xml:space="preserve">J4</t>
  </si>
  <si>
    <t xml:space="preserve">DS3 OUTPUT</t>
  </si>
  <si>
    <t xml:space="preserve">POWER FACT (not optional): with only these four Type-C parts there is no second inlet. Total energy is whatever the host puts on UP0 VBUS — typically 5 V × 1.5 A = 7.5 W or 5 V × 3 A = 15 W. Hub silicon needs ~4 W. That leaves ~3–11 W for all three outputs combined. BOM sets each DS switch to 1.0 A so one fat SSD cannot collapse the host port; three outputs at 1 A is still more than the host can give, so the host’s own current limit will fold first. This is the cost of “four connectors, no brick.” 100 W / 20 V per port is not on this list.</t>
  </si>
  <si>
    <t xml:space="preserve">ICs on this board (big brand, hardware strap, no firmware image)</t>
  </si>
  <si>
    <t xml:space="preserve">Qty</t>
  </si>
  <si>
    <t xml:space="preserve">MPN</t>
  </si>
  <si>
    <t xml:space="preserve">Mfr</t>
  </si>
  <si>
    <t xml:space="preserve">Function</t>
  </si>
  <si>
    <t xml:space="preserve">Strap</t>
  </si>
  <si>
    <t xml:space="preserve">TUSB8041ARGCR</t>
  </si>
  <si>
    <t xml:space="preserve">Texas Instruments</t>
  </si>
  <si>
    <t xml:space="preserve">4-port USB 3.1 Gen1 hub</t>
  </si>
  <si>
    <t xml:space="preserve">SDA/SCL floating — default descriptors</t>
  </si>
  <si>
    <t xml:space="preserve">HD3SS3220RNHR</t>
  </si>
  <si>
    <t xml:space="preserve">UP0 CC + SS mux</t>
  </si>
  <si>
    <t xml:space="preserve">PORT=GND UFP</t>
  </si>
  <si>
    <t xml:space="preserve">DS1–DS3 CC + SS mux</t>
  </si>
  <si>
    <t xml:space="preserve">PORT=5V DFP, CURRENT_MODE=3A</t>
  </si>
  <si>
    <t xml:space="preserve">TPS2553DBVR</t>
  </si>
  <si>
    <t xml:space="preserve">DS VBUS 1.0 A limit</t>
  </si>
  <si>
    <t xml:space="preserve">RILIM ≈ 24.9 kΩ, EN from mux ID</t>
  </si>
  <si>
    <t xml:space="preserve">TLV75533PDRVR</t>
  </si>
  <si>
    <t xml:space="preserve">5 V → 3.3 V</t>
  </si>
  <si>
    <t xml:space="preserve">from SYS_5V</t>
  </si>
  <si>
    <t xml:space="preserve">TPS74801DRCR</t>
  </si>
  <si>
    <t xml:space="preserve">5 V → 1.1 V hub core</t>
  </si>
  <si>
    <t xml:space="preserve">sequence after 3.3 V</t>
  </si>
  <si>
    <t xml:space="preserve">BOM  —  1 × Type-C input  +  3 × Type-C output</t>
  </si>
  <si>
    <t xml:space="preserve">Yellow = qty and unit price (USD qty-1 ballpark). Ext = Qty × Unit. No barrel jack line. No MCU. No 5th connector.</t>
  </si>
  <si>
    <t xml:space="preserve">Item</t>
  </si>
  <si>
    <t xml:space="preserve">Ref des</t>
  </si>
  <si>
    <t xml:space="preserve">Description</t>
  </si>
  <si>
    <t xml:space="preserve">Package</t>
  </si>
  <si>
    <t xml:space="preserve">Cat</t>
  </si>
  <si>
    <t xml:space="preserve">Unit USD</t>
  </si>
  <si>
    <t xml:space="preserve">Ext USD</t>
  </si>
  <si>
    <t xml:space="preserve">Note</t>
  </si>
  <si>
    <t xml:space="preserve">U1</t>
  </si>
  <si>
    <t xml:space="preserve">4-port USB 3.1 Gen1 SuperSpeed hub</t>
  </si>
  <si>
    <t xml:space="preserve">VQFN-64 9×9</t>
  </si>
  <si>
    <t xml:space="preserve">DATA</t>
  </si>
  <si>
    <t xml:space="preserve">SDA/SCL no pull-up. SMBUSz NC. GRSTz = 1 µF to GND.</t>
  </si>
  <si>
    <t xml:space="preserve">Y1</t>
  </si>
  <si>
    <t xml:space="preserve">ABM8-24.000MHZ-B2-T</t>
  </si>
  <si>
    <t xml:space="preserve">Abracon</t>
  </si>
  <si>
    <t xml:space="preserve">24.000 MHz ±20 ppm crystal</t>
  </si>
  <si>
    <t xml:space="preserve">3.2×2.5</t>
  </si>
  <si>
    <t xml:space="preserve">Load caps per Abracon CL. Not 25 MHz.</t>
  </si>
  <si>
    <t xml:space="preserve">C_y</t>
  </si>
  <si>
    <t xml:space="preserve">GRM1555C1H120JA01D</t>
  </si>
  <si>
    <t xml:space="preserve">Murata</t>
  </si>
  <si>
    <t xml:space="preserve">12 pF C0G 0402 crystal load (adjust to CL)</t>
  </si>
  <si>
    <t xml:space="preserve">0402</t>
  </si>
  <si>
    <t xml:space="preserve">PASS</t>
  </si>
  <si>
    <t xml:space="preserve">Tune if oscillator amplitude is low.</t>
  </si>
  <si>
    <t xml:space="preserve">U2</t>
  </si>
  <si>
    <t xml:space="preserve">UP0 Type-C CC controller + 10 Gbps 2:1 SS mux</t>
  </si>
  <si>
    <t xml:space="preserve">WQFN-30</t>
  </si>
  <si>
    <t xml:space="preserve">CC</t>
  </si>
  <si>
    <t xml:space="preserve">PORT pin to GND = UFP. VBUS_DET 900 kΩ to J1 VBUS.</t>
  </si>
  <si>
    <t xml:space="preserve">U3</t>
  </si>
  <si>
    <t xml:space="preserve">DS1 Type-C CC + SS mux</t>
  </si>
  <si>
    <t xml:space="preserve">PORT to 5 V = DFP. CURRENT_MODE to 5 V = 3 A advert. ID → U6 EN.</t>
  </si>
  <si>
    <t xml:space="preserve">U4</t>
  </si>
  <si>
    <t xml:space="preserve">DS2 Type-C CC + SS mux</t>
  </si>
  <si>
    <t xml:space="preserve">Same strap as U3. ID → U7 EN.</t>
  </si>
  <si>
    <t xml:space="preserve">U5</t>
  </si>
  <si>
    <t xml:space="preserve">DS3 Type-C CC + SS mux</t>
  </si>
  <si>
    <t xml:space="preserve">Same strap as U3. ID → U8 EN.</t>
  </si>
  <si>
    <t xml:space="preserve">U6</t>
  </si>
  <si>
    <t xml:space="preserve">DS1 VBUS switch, 1.0 A typ</t>
  </si>
  <si>
    <t xml:space="preserve">SOT-23-6</t>
  </si>
  <si>
    <t xml:space="preserve">POWER</t>
  </si>
  <si>
    <t xml:space="preserve">RILIM 24.9 kΩ 1%. FAULT# → hub OVERCUR1z.</t>
  </si>
  <si>
    <t xml:space="preserve">U7</t>
  </si>
  <si>
    <t xml:space="preserve">DS2 VBUS switch, 1.0 A typ</t>
  </si>
  <si>
    <t xml:space="preserve">FAULT# → OVERCUR2z.</t>
  </si>
  <si>
    <t xml:space="preserve">U8</t>
  </si>
  <si>
    <t xml:space="preserve">DS3 VBUS switch, 1.0 A typ</t>
  </si>
  <si>
    <t xml:space="preserve">FAULT# → OVERCUR3z.</t>
  </si>
  <si>
    <t xml:space="preserve">Rilim</t>
  </si>
  <si>
    <t xml:space="preserve">RC0402FR-0724K9L</t>
  </si>
  <si>
    <t xml:space="preserve">Yageo</t>
  </si>
  <si>
    <t xml:space="preserve">24.9 kΩ 1% 0402 TPS2553 ILIM</t>
  </si>
  <si>
    <t xml:space="preserve">≈ 1.0 A. Do not leave ILIM open (that is ~75 mA).</t>
  </si>
  <si>
    <t xml:space="preserve">U31</t>
  </si>
  <si>
    <t xml:space="preserve">SYS_5V → 3.3 V 500 mA LDO</t>
  </si>
  <si>
    <t xml:space="preserve">WSON-6</t>
  </si>
  <si>
    <t xml:space="preserve">Hub VDD33, mux VDD, CC rails.</t>
  </si>
  <si>
    <t xml:space="preserve">U32</t>
  </si>
  <si>
    <t xml:space="preserve">SYS_5V → 1.1 V 1.5 A LDO hub core</t>
  </si>
  <si>
    <t xml:space="preserve">VSON-10</t>
  </si>
  <si>
    <t xml:space="preserve">Soft-start. 3.3 V first, then 1.1 V, then GRSTz.</t>
  </si>
  <si>
    <t xml:space="preserve">Q1</t>
  </si>
  <si>
    <t xml:space="preserve">CSD17313Q2</t>
  </si>
  <si>
    <t xml:space="preserve">N-FET reverse-block SYS_5V from feeding host when a DS device backfeeds</t>
  </si>
  <si>
    <t xml:space="preserve">SON-6 2×2</t>
  </si>
  <si>
    <t xml:space="preserve">Optional but recommended. Gate from UP0 VBUS detect.</t>
  </si>
  <si>
    <t xml:space="preserve">124019572112A</t>
  </si>
  <si>
    <t xml:space="preserve">Amphenol ICC</t>
  </si>
  <si>
    <t xml:space="preserve">INPUT Type-C receptacle 24-pin mid-mount 5 A</t>
  </si>
  <si>
    <t xml:space="preserve">Mid-mount hybrid</t>
  </si>
  <si>
    <t xml:space="preserve">CONN</t>
  </si>
  <si>
    <t xml:space="preserve">UP0. Parallel all four VBUS pins and all four GND pins.</t>
  </si>
  <si>
    <t xml:space="preserve">OUTPUT DS1 Type-C receptacle 24-pin mid-mount 5 A</t>
  </si>
  <si>
    <t xml:space="preserve">Same footprint as J1.</t>
  </si>
  <si>
    <t xml:space="preserve">OUTPUT DS2 Type-C receptacle 24-pin mid-mount 5 A</t>
  </si>
  <si>
    <t xml:space="preserve">OUTPUT DS3 Type-C receptacle 24-pin mid-mount 5 A</t>
  </si>
  <si>
    <t xml:space="preserve">Uesd_ss</t>
  </si>
  <si>
    <t xml:space="preserve">TPD2EUSB30DRTR</t>
  </si>
  <si>
    <t xml:space="preserve">2-ch SuperSpeed ESD, low-C (2 per Type-C: lane1 + lane2)</t>
  </si>
  <si>
    <t xml:space="preserve">SOT-5</t>
  </si>
  <si>
    <t xml:space="preserve">PROT</t>
  </si>
  <si>
    <t xml:space="preserve">Place &lt;1 mm from connector pads.</t>
  </si>
  <si>
    <t xml:space="preserve">Uesd_cc</t>
  </si>
  <si>
    <t xml:space="preserve">TPD4E05U06DQAR</t>
  </si>
  <si>
    <t xml:space="preserve">4-ch ESD for D+/D−/CC1/CC2, one per Type-C</t>
  </si>
  <si>
    <t xml:space="preserve">USON-10</t>
  </si>
  <si>
    <t xml:space="preserve">Dtv</t>
  </si>
  <si>
    <t xml:space="preserve">PESD5V0S1UL</t>
  </si>
  <si>
    <t xml:space="preserve">Nexperia</t>
  </si>
  <si>
    <t xml:space="preserve">5 V TVS on each VBUS (host is 5 V only)</t>
  </si>
  <si>
    <t xml:space="preserve">SOD-323</t>
  </si>
  <si>
    <t xml:space="preserve">Do not put TVS2200 here — this board never sees 20 V.</t>
  </si>
  <si>
    <t xml:space="preserve">Cac</t>
  </si>
  <si>
    <t xml:space="preserve">GCM155R71C104KA55D</t>
  </si>
  <si>
    <t xml:space="preserve">100 nF 16 V 0402 SS TX AC-coupling</t>
  </si>
  <si>
    <t xml:space="preserve">4 per port. Follow HD3SS3220 datasheet side-of-mux.</t>
  </si>
  <si>
    <t xml:space="preserve">R900k</t>
  </si>
  <si>
    <t xml:space="preserve">RC0402FR-07900KL</t>
  </si>
  <si>
    <t xml:space="preserve">900 kΩ VBUS_DET on each HD3SS3220</t>
  </si>
  <si>
    <t xml:space="preserve">Datasheet value. Do not 10 k.</t>
  </si>
  <si>
    <t xml:space="preserve">R200k</t>
  </si>
  <si>
    <t xml:space="preserve">RC0402FR-07200KL</t>
  </si>
  <si>
    <t xml:space="preserve">200 kΩ pull-up on DS ID pins</t>
  </si>
  <si>
    <t xml:space="preserve">ID is open-drain.</t>
  </si>
  <si>
    <t xml:space="preserve">Cblk5</t>
  </si>
  <si>
    <t xml:space="preserve">GRM21BR61A226ME51L</t>
  </si>
  <si>
    <t xml:space="preserve">22 µF 10 V 0805 on each Type-C VBUS</t>
  </si>
  <si>
    <t xml:space="preserve">0805</t>
  </si>
  <si>
    <t xml:space="preserve">Plus 180 µF polymer on hub 5 V (next line).</t>
  </si>
  <si>
    <t xml:space="preserve">Cbulk</t>
  </si>
  <si>
    <t xml:space="preserve">16SVP180MX</t>
  </si>
  <si>
    <t xml:space="preserve">Panasonic</t>
  </si>
  <si>
    <t xml:space="preserve">180 µF 16 V OS-CON on SYS_5V (USB hub bulk)</t>
  </si>
  <si>
    <t xml:space="preserve">8 mm</t>
  </si>
  <si>
    <t xml:space="preserve">USB spec ≥120 µF on hub downstream 5 V domain.</t>
  </si>
  <si>
    <t xml:space="preserve">C10u</t>
  </si>
  <si>
    <t xml:space="preserve">GRM155R70J106ME15D</t>
  </si>
  <si>
    <t xml:space="preserve">10 µF 6.3 V 0402 local decouple</t>
  </si>
  <si>
    <t xml:space="preserve">Under every QFN.</t>
  </si>
  <si>
    <t xml:space="preserve">C100n</t>
  </si>
  <si>
    <t xml:space="preserve">GRM155R71C104KA88D</t>
  </si>
  <si>
    <t xml:space="preserve">100 nF 16 V 0402 per power pin</t>
  </si>
  <si>
    <t xml:space="preserve">Rfb</t>
  </si>
  <si>
    <t xml:space="preserve">RC0402FR-074K99L</t>
  </si>
  <si>
    <t xml:space="preserve">TPS74801 FB divider (set 1.1 V — confirm ratio in datasheet)</t>
  </si>
  <si>
    <t xml:space="preserve">Replace with exact divider from TPS74801 1.1 V example.</t>
  </si>
  <si>
    <t xml:space="preserve">Cgrst</t>
  </si>
  <si>
    <t xml:space="preserve">GRM155R71C105KA12D</t>
  </si>
  <si>
    <t xml:space="preserve">1 µF on TUSB8041A GRSTz to GND</t>
  </si>
  <si>
    <t xml:space="preserve">Reset delay.</t>
  </si>
  <si>
    <t xml:space="preserve">PCB</t>
  </si>
  <si>
    <t xml:space="preserve">JLC04161H-7628 ENIG + stencil</t>
  </si>
  <si>
    <t xml:space="preserve">JLCPCB</t>
  </si>
  <si>
    <t xml:space="preserve">4-layer 1.6 mm, 90 Ω diff coupon, ENIG, ~80×50 mm</t>
  </si>
  <si>
    <t xml:space="preserve">4-layer</t>
  </si>
  <si>
    <t xml:space="preserve">MECH</t>
  </si>
  <si>
    <t xml:space="preserve">Sig-GND-PWR-Sig. Stencil 0.12 mm for 0.4 mm QFN.</t>
  </si>
  <si>
    <t xml:space="preserve">MH</t>
  </si>
  <si>
    <t xml:space="preserve">R30-1000402</t>
  </si>
  <si>
    <t xml:space="preserve">Harwin</t>
  </si>
  <si>
    <t xml:space="preserve">M3 standoff + screw</t>
  </si>
  <si>
    <t xml:space="preserve">M3</t>
  </si>
  <si>
    <t xml:space="preserve">TOTAL</t>
  </si>
  <si>
    <t xml:space="preserve">By category</t>
  </si>
  <si>
    <t xml:space="preserve">Category</t>
  </si>
  <si>
    <t xml:space="preserve">Share</t>
  </si>
  <si>
    <t xml:space="preserve">CHECK</t>
  </si>
  <si>
    <t xml:space="preserve">Connector and IC count check  (must equal 4 Type-C)</t>
  </si>
  <si>
    <t xml:space="preserve">What</t>
  </si>
  <si>
    <t xml:space="preserve">Must be</t>
  </si>
  <si>
    <t xml:space="preserve">On this BOM</t>
  </si>
  <si>
    <t xml:space="preserve">Pass?</t>
  </si>
  <si>
    <t xml:space="preserve">Type-C receptacles (124019572112A)</t>
  </si>
  <si>
    <t xml:space="preserve">HD3SS3220 (one per Type-C)</t>
  </si>
  <si>
    <t xml:space="preserve">TPS2553 (outputs only)</t>
  </si>
  <si>
    <t xml:space="preserve">TUSB8041A hub</t>
  </si>
  <si>
    <t xml:space="preserve">Barrel / DC jack lines</t>
  </si>
  <si>
    <t xml:space="preserve">MCU lines (STM32/MSP)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</si>
</sst>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8B2E2E"/>
      <name val="Calibri"/>
      <family val="0"/>
      <charset val="1"/>
    </font>
    <font>
      <b val="true"/>
      <sz val="13"/>
      <color rgb="FF1B365D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B365D"/>
        <bgColor rgb="FF243E73"/>
      </patternFill>
    </fill>
    <fill>
      <patternFill patternType="solid">
        <fgColor rgb="FF243E73"/>
        <bgColor rgb="FF1B365D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EEEFE8"/>
      </patternFill>
    </fill>
    <fill>
      <patternFill patternType="solid">
        <fgColor rgb="FFF8E6E6"/>
        <bgColor rgb="FFF8E6D3"/>
      </patternFill>
    </fill>
    <fill>
      <patternFill patternType="solid">
        <fgColor rgb="FFE5F4EA"/>
        <bgColor rgb="FFDCEFE8"/>
      </patternFill>
    </fill>
    <fill>
      <patternFill patternType="solid">
        <fgColor rgb="FFD6E4F0"/>
        <bgColor rgb="FFE4E4E4"/>
      </patternFill>
    </fill>
    <fill>
      <patternFill patternType="solid">
        <fgColor rgb="FFFFF3CD"/>
        <bgColor rgb="FFF8E6D3"/>
      </patternFill>
    </fill>
    <fill>
      <patternFill patternType="solid">
        <fgColor rgb="FFEEEFE8"/>
        <bgColor rgb="FFE5F4EA"/>
      </patternFill>
    </fill>
    <fill>
      <patternFill patternType="solid">
        <fgColor rgb="FFDCEFE8"/>
        <bgColor rgb="FFE5F4EA"/>
      </patternFill>
    </fill>
    <fill>
      <patternFill patternType="solid">
        <fgColor rgb="FFF8E6D3"/>
        <bgColor rgb="FFF8E6E6"/>
      </patternFill>
    </fill>
    <fill>
      <patternFill patternType="solid">
        <fgColor rgb="FFE8E0F0"/>
        <bgColor rgb="FFE4E4E4"/>
      </patternFill>
    </fill>
    <fill>
      <patternFill patternType="solid">
        <fgColor rgb="FFF3D6D6"/>
        <bgColor rgb="FFF8E6D3"/>
      </patternFill>
    </fill>
    <fill>
      <patternFill patternType="solid">
        <fgColor rgb="FFE4E4E4"/>
        <bgColor rgb="FFE8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AD3"/>
      </left>
      <right style="thin">
        <color rgb="FFC5CAD3"/>
      </right>
      <top style="thin">
        <color rgb="FFC5CAD3"/>
      </top>
      <bottom style="thin">
        <color rgb="FFC5CA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B365D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CEFE8"/>
          <bgColor rgb="FF000000"/>
        </patternFill>
      </fill>
    </dxf>
    <dxf>
      <fill>
        <patternFill patternType="solid">
          <fgColor rgb="FFE4E4E4"/>
          <bgColor rgb="FF000000"/>
        </patternFill>
      </fill>
    </dxf>
    <dxf>
      <fill>
        <patternFill patternType="solid">
          <fgColor rgb="FFE8E0F0"/>
          <bgColor rgb="FF000000"/>
        </patternFill>
      </fill>
    </dxf>
    <dxf>
      <fill>
        <patternFill patternType="solid">
          <fgColor rgb="FFEEEFE8"/>
          <bgColor rgb="FF000000"/>
        </patternFill>
      </fill>
    </dxf>
    <dxf>
      <fill>
        <patternFill patternType="solid">
          <fgColor rgb="FFF3D6D6"/>
          <bgColor rgb="FF000000"/>
        </patternFill>
      </fill>
    </dxf>
    <dxf>
      <fill>
        <patternFill patternType="solid">
          <fgColor rgb="FFF8E6D3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5F4EA"/>
        </patternFill>
      </fill>
    </dxf>
    <dxf>
      <fill>
        <patternFill>
          <bgColor rgb="FFF8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5CAD3"/>
      <rgbColor rgb="FF4F81BD"/>
      <rgbColor rgb="FF93A9CE"/>
      <rgbColor rgb="FFAB4744"/>
      <rgbColor rgb="FFFFF3CD"/>
      <rgbColor rgb="FFDCEFE8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4EA"/>
      <rgbColor rgb="FFEEEFE8"/>
      <rgbColor rgb="FFF8E6D3"/>
      <rgbColor rgb="FFD6E4F0"/>
      <rgbColor rgb="FFF8E6E6"/>
      <rgbColor rgb="FFE8E0F0"/>
      <rgbColor rgb="FFF3D6D6"/>
      <rgbColor rgb="FF4672A8"/>
      <rgbColor rgb="FF33CCCC"/>
      <rgbColor rgb="FF99CC00"/>
      <rgbColor rgb="FFE4E4E4"/>
      <rgbColor rgb="FFFF9900"/>
      <rgbColor rgb="FFFF6600"/>
      <rgbColor rgb="FF725990"/>
      <rgbColor rgb="FF8AA64F"/>
      <rgbColor rgb="FF1B365D"/>
      <rgbColor rgb="FF4299B0"/>
      <rgbColor rgb="FF003300"/>
      <rgbColor rgb="FF333300"/>
      <rgbColor rgb="FF8B2E2E"/>
      <rgbColor rgb="FF993366"/>
      <rgbColor rgb="FF243E73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BOM $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BOM!B40</c:f>
              <c:strCache>
                <c:ptCount val="1"/>
                <c:pt idx="0">
                  <c:v>Ext 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BOM!$A$41:$A$47</c:f>
              <c:strCache>
                <c:ptCount val="7"/>
                <c:pt idx="0">
                  <c:v>DATA</c:v>
                </c:pt>
                <c:pt idx="1">
                  <c:v>CC</c:v>
                </c:pt>
                <c:pt idx="2">
                  <c:v>POWER</c:v>
                </c:pt>
                <c:pt idx="3">
                  <c:v>PROT</c:v>
                </c:pt>
                <c:pt idx="4">
                  <c:v>CONN</c:v>
                </c:pt>
                <c:pt idx="5">
                  <c:v>PASS</c:v>
                </c:pt>
                <c:pt idx="6">
                  <c:v>MECH</c:v>
                </c:pt>
              </c:strCache>
            </c:strRef>
          </c:cat>
          <c:val>
            <c:numRef>
              <c:f>BOM!$B$41:$B$47</c:f>
              <c:numCache>
                <c:formatCode>\$#,##0.00</c:formatCode>
                <c:ptCount val="7"/>
                <c:pt idx="0">
                  <c:v>5.95</c:v>
                </c:pt>
                <c:pt idx="1">
                  <c:v>7.4</c:v>
                </c:pt>
                <c:pt idx="2">
                  <c:v>4.65</c:v>
                </c:pt>
                <c:pt idx="3">
                  <c:v>5.2</c:v>
                </c:pt>
                <c:pt idx="4">
                  <c:v>9.08</c:v>
                </c:pt>
                <c:pt idx="5">
                  <c:v>3.26</c:v>
                </c:pt>
                <c:pt idx="6">
                  <c:v>19.6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38</xdr:row>
      <xdr:rowOff>0</xdr:rowOff>
    </xdr:from>
    <xdr:to>
      <xdr:col>5</xdr:col>
      <xdr:colOff>2910240</xdr:colOff>
      <xdr:row>52</xdr:row>
      <xdr:rowOff>85680</xdr:rowOff>
    </xdr:to>
    <xdr:graphicFrame>
      <xdr:nvGraphicFramePr>
        <xdr:cNvPr id="0" name="Chart 1"/>
        <xdr:cNvGraphicFramePr/>
      </xdr:nvGraphicFramePr>
      <xdr:xfrm>
        <a:off x="3524400" y="125539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42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9.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39.75" hidden="false" customHeight="true" outlineLevel="0" collapsed="false">
      <c r="A6" s="6" t="s">
        <v>12</v>
      </c>
      <c r="B6" s="7" t="s">
        <v>13</v>
      </c>
      <c r="C6" s="7" t="s">
        <v>9</v>
      </c>
      <c r="D6" s="7" t="s">
        <v>14</v>
      </c>
      <c r="E6" s="7" t="s">
        <v>15</v>
      </c>
    </row>
    <row r="7" customFormat="false" ht="39.75" hidden="false" customHeight="true" outlineLevel="0" collapsed="false">
      <c r="A7" s="4" t="s">
        <v>16</v>
      </c>
      <c r="B7" s="5" t="s">
        <v>17</v>
      </c>
      <c r="C7" s="5" t="s">
        <v>9</v>
      </c>
      <c r="D7" s="5" t="s">
        <v>14</v>
      </c>
      <c r="E7" s="5" t="s">
        <v>18</v>
      </c>
    </row>
    <row r="8" customFormat="false" ht="39.75" hidden="false" customHeight="true" outlineLevel="0" collapsed="false">
      <c r="A8" s="6" t="s">
        <v>19</v>
      </c>
      <c r="B8" s="7" t="s">
        <v>20</v>
      </c>
      <c r="C8" s="7" t="s">
        <v>9</v>
      </c>
      <c r="D8" s="7" t="s">
        <v>14</v>
      </c>
      <c r="E8" s="7" t="s">
        <v>18</v>
      </c>
    </row>
    <row r="10" customFormat="false" ht="15" hidden="false" customHeight="true" outlineLevel="0" collapsed="false">
      <c r="A10" s="8" t="s">
        <v>21</v>
      </c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4" customFormat="false" ht="16.15" hidden="false" customHeight="false" outlineLevel="0" collapsed="false">
      <c r="A14" s="9" t="s">
        <v>22</v>
      </c>
      <c r="B14" s="9"/>
      <c r="C14" s="9"/>
      <c r="D14" s="9"/>
      <c r="E14" s="9"/>
    </row>
    <row r="15" customFormat="false" ht="15" hidden="false" customHeight="false" outlineLevel="0" collapsed="false">
      <c r="A15" s="10" t="s">
        <v>23</v>
      </c>
      <c r="B15" s="10" t="s">
        <v>24</v>
      </c>
      <c r="C15" s="10" t="s">
        <v>25</v>
      </c>
      <c r="D15" s="10" t="s">
        <v>26</v>
      </c>
      <c r="E15" s="10" t="s">
        <v>27</v>
      </c>
    </row>
    <row r="16" customFormat="false" ht="21.75" hidden="false" customHeight="true" outlineLevel="0" collapsed="false">
      <c r="A16" s="11" t="n">
        <v>1</v>
      </c>
      <c r="B16" s="11" t="s">
        <v>28</v>
      </c>
      <c r="C16" s="11" t="s">
        <v>29</v>
      </c>
      <c r="D16" s="11" t="s">
        <v>30</v>
      </c>
      <c r="E16" s="11" t="s">
        <v>31</v>
      </c>
    </row>
    <row r="17" customFormat="false" ht="21.75" hidden="false" customHeight="true" outlineLevel="0" collapsed="false">
      <c r="A17" s="11" t="n">
        <v>1</v>
      </c>
      <c r="B17" s="11" t="s">
        <v>32</v>
      </c>
      <c r="C17" s="11" t="s">
        <v>29</v>
      </c>
      <c r="D17" s="11" t="s">
        <v>33</v>
      </c>
      <c r="E17" s="11" t="s">
        <v>34</v>
      </c>
    </row>
    <row r="18" customFormat="false" ht="21.75" hidden="false" customHeight="true" outlineLevel="0" collapsed="false">
      <c r="A18" s="11" t="n">
        <v>3</v>
      </c>
      <c r="B18" s="11" t="s">
        <v>32</v>
      </c>
      <c r="C18" s="11" t="s">
        <v>29</v>
      </c>
      <c r="D18" s="11" t="s">
        <v>35</v>
      </c>
      <c r="E18" s="11" t="s">
        <v>36</v>
      </c>
    </row>
    <row r="19" customFormat="false" ht="21.75" hidden="false" customHeight="true" outlineLevel="0" collapsed="false">
      <c r="A19" s="11" t="n">
        <v>3</v>
      </c>
      <c r="B19" s="11" t="s">
        <v>37</v>
      </c>
      <c r="C19" s="11" t="s">
        <v>29</v>
      </c>
      <c r="D19" s="11" t="s">
        <v>38</v>
      </c>
      <c r="E19" s="11" t="s">
        <v>39</v>
      </c>
    </row>
    <row r="20" customFormat="false" ht="21.75" hidden="false" customHeight="true" outlineLevel="0" collapsed="false">
      <c r="A20" s="11" t="n">
        <v>1</v>
      </c>
      <c r="B20" s="11" t="s">
        <v>40</v>
      </c>
      <c r="C20" s="11" t="s">
        <v>29</v>
      </c>
      <c r="D20" s="11" t="s">
        <v>41</v>
      </c>
      <c r="E20" s="11" t="s">
        <v>42</v>
      </c>
    </row>
    <row r="21" customFormat="false" ht="21.75" hidden="false" customHeight="true" outlineLevel="0" collapsed="false">
      <c r="A21" s="11" t="n">
        <v>1</v>
      </c>
      <c r="B21" s="11" t="s">
        <v>43</v>
      </c>
      <c r="C21" s="11" t="s">
        <v>29</v>
      </c>
      <c r="D21" s="11" t="s">
        <v>44</v>
      </c>
      <c r="E21" s="11" t="s">
        <v>45</v>
      </c>
    </row>
  </sheetData>
  <mergeCells count="4">
    <mergeCell ref="A1:E1"/>
    <mergeCell ref="A2:E2"/>
    <mergeCell ref="A10:E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58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55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2" t="s">
        <v>47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customFormat="false" ht="15" hidden="false" customHeight="false" outlineLevel="0" collapsed="false">
      <c r="A4" s="10" t="s">
        <v>48</v>
      </c>
      <c r="B4" s="10" t="s">
        <v>23</v>
      </c>
      <c r="C4" s="10" t="s">
        <v>49</v>
      </c>
      <c r="D4" s="10" t="s">
        <v>24</v>
      </c>
      <c r="E4" s="10" t="s">
        <v>25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</row>
    <row r="5" customFormat="false" ht="27.75" hidden="false" customHeight="true" outlineLevel="0" collapsed="false">
      <c r="A5" s="13" t="n">
        <v>1</v>
      </c>
      <c r="B5" s="14" t="n">
        <v>1</v>
      </c>
      <c r="C5" s="13" t="s">
        <v>56</v>
      </c>
      <c r="D5" s="15" t="s">
        <v>28</v>
      </c>
      <c r="E5" s="13" t="s">
        <v>29</v>
      </c>
      <c r="F5" s="13" t="s">
        <v>57</v>
      </c>
      <c r="G5" s="13" t="s">
        <v>58</v>
      </c>
      <c r="H5" s="13" t="s">
        <v>59</v>
      </c>
      <c r="I5" s="16" t="n">
        <v>5.4</v>
      </c>
      <c r="J5" s="17" t="n">
        <f aca="false">B5*I5</f>
        <v>5.4</v>
      </c>
      <c r="K5" s="13" t="s">
        <v>60</v>
      </c>
    </row>
    <row r="6" customFormat="false" ht="27.75" hidden="false" customHeight="true" outlineLevel="0" collapsed="false">
      <c r="A6" s="13" t="n">
        <v>2</v>
      </c>
      <c r="B6" s="14" t="n">
        <v>1</v>
      </c>
      <c r="C6" s="13" t="s">
        <v>61</v>
      </c>
      <c r="D6" s="15" t="s">
        <v>62</v>
      </c>
      <c r="E6" s="13" t="s">
        <v>63</v>
      </c>
      <c r="F6" s="13" t="s">
        <v>64</v>
      </c>
      <c r="G6" s="13" t="s">
        <v>65</v>
      </c>
      <c r="H6" s="13" t="s">
        <v>59</v>
      </c>
      <c r="I6" s="16" t="n">
        <v>0.55</v>
      </c>
      <c r="J6" s="17" t="n">
        <f aca="false">B6*I6</f>
        <v>0.55</v>
      </c>
      <c r="K6" s="13" t="s">
        <v>66</v>
      </c>
    </row>
    <row r="7" customFormat="false" ht="27.75" hidden="false" customHeight="true" outlineLevel="0" collapsed="false">
      <c r="A7" s="18" t="n">
        <v>3</v>
      </c>
      <c r="B7" s="14" t="n">
        <v>2</v>
      </c>
      <c r="C7" s="18" t="s">
        <v>67</v>
      </c>
      <c r="D7" s="19" t="s">
        <v>68</v>
      </c>
      <c r="E7" s="18" t="s">
        <v>69</v>
      </c>
      <c r="F7" s="18" t="s">
        <v>70</v>
      </c>
      <c r="G7" s="18" t="s">
        <v>71</v>
      </c>
      <c r="H7" s="18" t="s">
        <v>72</v>
      </c>
      <c r="I7" s="16" t="n">
        <v>0.03</v>
      </c>
      <c r="J7" s="20" t="n">
        <f aca="false">B7*I7</f>
        <v>0.06</v>
      </c>
      <c r="K7" s="18" t="s">
        <v>73</v>
      </c>
    </row>
    <row r="8" customFormat="false" ht="27.75" hidden="false" customHeight="true" outlineLevel="0" collapsed="false">
      <c r="A8" s="21" t="n">
        <v>4</v>
      </c>
      <c r="B8" s="14" t="n">
        <v>1</v>
      </c>
      <c r="C8" s="21" t="s">
        <v>74</v>
      </c>
      <c r="D8" s="22" t="s">
        <v>32</v>
      </c>
      <c r="E8" s="21" t="s">
        <v>29</v>
      </c>
      <c r="F8" s="21" t="s">
        <v>75</v>
      </c>
      <c r="G8" s="21" t="s">
        <v>76</v>
      </c>
      <c r="H8" s="21" t="s">
        <v>77</v>
      </c>
      <c r="I8" s="16" t="n">
        <v>1.85</v>
      </c>
      <c r="J8" s="23" t="n">
        <f aca="false">B8*I8</f>
        <v>1.85</v>
      </c>
      <c r="K8" s="21" t="s">
        <v>78</v>
      </c>
    </row>
    <row r="9" customFormat="false" ht="27.75" hidden="false" customHeight="true" outlineLevel="0" collapsed="false">
      <c r="A9" s="21" t="n">
        <v>5</v>
      </c>
      <c r="B9" s="14" t="n">
        <v>1</v>
      </c>
      <c r="C9" s="21" t="s">
        <v>79</v>
      </c>
      <c r="D9" s="22" t="s">
        <v>32</v>
      </c>
      <c r="E9" s="21" t="s">
        <v>29</v>
      </c>
      <c r="F9" s="21" t="s">
        <v>80</v>
      </c>
      <c r="G9" s="21" t="s">
        <v>76</v>
      </c>
      <c r="H9" s="21" t="s">
        <v>77</v>
      </c>
      <c r="I9" s="16" t="n">
        <v>1.85</v>
      </c>
      <c r="J9" s="23" t="n">
        <f aca="false">B9*I9</f>
        <v>1.85</v>
      </c>
      <c r="K9" s="21" t="s">
        <v>81</v>
      </c>
    </row>
    <row r="10" customFormat="false" ht="27.75" hidden="false" customHeight="true" outlineLevel="0" collapsed="false">
      <c r="A10" s="21" t="n">
        <v>6</v>
      </c>
      <c r="B10" s="14" t="n">
        <v>1</v>
      </c>
      <c r="C10" s="21" t="s">
        <v>82</v>
      </c>
      <c r="D10" s="22" t="s">
        <v>32</v>
      </c>
      <c r="E10" s="21" t="s">
        <v>29</v>
      </c>
      <c r="F10" s="21" t="s">
        <v>83</v>
      </c>
      <c r="G10" s="21" t="s">
        <v>76</v>
      </c>
      <c r="H10" s="21" t="s">
        <v>77</v>
      </c>
      <c r="I10" s="16" t="n">
        <v>1.85</v>
      </c>
      <c r="J10" s="23" t="n">
        <f aca="false">B10*I10</f>
        <v>1.85</v>
      </c>
      <c r="K10" s="21" t="s">
        <v>84</v>
      </c>
    </row>
    <row r="11" customFormat="false" ht="27.75" hidden="false" customHeight="true" outlineLevel="0" collapsed="false">
      <c r="A11" s="21" t="n">
        <v>7</v>
      </c>
      <c r="B11" s="14" t="n">
        <v>1</v>
      </c>
      <c r="C11" s="21" t="s">
        <v>85</v>
      </c>
      <c r="D11" s="22" t="s">
        <v>32</v>
      </c>
      <c r="E11" s="21" t="s">
        <v>29</v>
      </c>
      <c r="F11" s="21" t="s">
        <v>86</v>
      </c>
      <c r="G11" s="21" t="s">
        <v>76</v>
      </c>
      <c r="H11" s="21" t="s">
        <v>77</v>
      </c>
      <c r="I11" s="16" t="n">
        <v>1.85</v>
      </c>
      <c r="J11" s="23" t="n">
        <f aca="false">B11*I11</f>
        <v>1.85</v>
      </c>
      <c r="K11" s="21" t="s">
        <v>87</v>
      </c>
    </row>
    <row r="12" customFormat="false" ht="27.75" hidden="false" customHeight="true" outlineLevel="0" collapsed="false">
      <c r="A12" s="24" t="n">
        <v>8</v>
      </c>
      <c r="B12" s="14" t="n">
        <v>1</v>
      </c>
      <c r="C12" s="24" t="s">
        <v>88</v>
      </c>
      <c r="D12" s="25" t="s">
        <v>37</v>
      </c>
      <c r="E12" s="24" t="s">
        <v>29</v>
      </c>
      <c r="F12" s="24" t="s">
        <v>89</v>
      </c>
      <c r="G12" s="24" t="s">
        <v>90</v>
      </c>
      <c r="H12" s="24" t="s">
        <v>91</v>
      </c>
      <c r="I12" s="16" t="n">
        <v>0.85</v>
      </c>
      <c r="J12" s="26" t="n">
        <f aca="false">B12*I12</f>
        <v>0.85</v>
      </c>
      <c r="K12" s="24" t="s">
        <v>92</v>
      </c>
    </row>
    <row r="13" customFormat="false" ht="27.75" hidden="false" customHeight="true" outlineLevel="0" collapsed="false">
      <c r="A13" s="24" t="n">
        <v>9</v>
      </c>
      <c r="B13" s="14" t="n">
        <v>1</v>
      </c>
      <c r="C13" s="24" t="s">
        <v>93</v>
      </c>
      <c r="D13" s="25" t="s">
        <v>37</v>
      </c>
      <c r="E13" s="24" t="s">
        <v>29</v>
      </c>
      <c r="F13" s="24" t="s">
        <v>94</v>
      </c>
      <c r="G13" s="24" t="s">
        <v>90</v>
      </c>
      <c r="H13" s="24" t="s">
        <v>91</v>
      </c>
      <c r="I13" s="16" t="n">
        <v>0.85</v>
      </c>
      <c r="J13" s="26" t="n">
        <f aca="false">B13*I13</f>
        <v>0.85</v>
      </c>
      <c r="K13" s="24" t="s">
        <v>95</v>
      </c>
    </row>
    <row r="14" customFormat="false" ht="27.75" hidden="false" customHeight="true" outlineLevel="0" collapsed="false">
      <c r="A14" s="24" t="n">
        <v>10</v>
      </c>
      <c r="B14" s="14" t="n">
        <v>1</v>
      </c>
      <c r="C14" s="24" t="s">
        <v>96</v>
      </c>
      <c r="D14" s="25" t="s">
        <v>37</v>
      </c>
      <c r="E14" s="24" t="s">
        <v>29</v>
      </c>
      <c r="F14" s="24" t="s">
        <v>97</v>
      </c>
      <c r="G14" s="24" t="s">
        <v>90</v>
      </c>
      <c r="H14" s="24" t="s">
        <v>91</v>
      </c>
      <c r="I14" s="16" t="n">
        <v>0.85</v>
      </c>
      <c r="J14" s="26" t="n">
        <f aca="false">B14*I14</f>
        <v>0.85</v>
      </c>
      <c r="K14" s="24" t="s">
        <v>98</v>
      </c>
    </row>
    <row r="15" customFormat="false" ht="27.75" hidden="false" customHeight="true" outlineLevel="0" collapsed="false">
      <c r="A15" s="18" t="n">
        <v>11</v>
      </c>
      <c r="B15" s="14" t="n">
        <v>3</v>
      </c>
      <c r="C15" s="18" t="s">
        <v>99</v>
      </c>
      <c r="D15" s="19" t="s">
        <v>100</v>
      </c>
      <c r="E15" s="18" t="s">
        <v>101</v>
      </c>
      <c r="F15" s="18" t="s">
        <v>102</v>
      </c>
      <c r="G15" s="18" t="s">
        <v>71</v>
      </c>
      <c r="H15" s="18" t="s">
        <v>72</v>
      </c>
      <c r="I15" s="16" t="n">
        <v>0.03</v>
      </c>
      <c r="J15" s="20" t="n">
        <f aca="false">B15*I15</f>
        <v>0.09</v>
      </c>
      <c r="K15" s="18" t="s">
        <v>103</v>
      </c>
    </row>
    <row r="16" customFormat="false" ht="27.75" hidden="false" customHeight="true" outlineLevel="0" collapsed="false">
      <c r="A16" s="24" t="n">
        <v>12</v>
      </c>
      <c r="B16" s="14" t="n">
        <v>1</v>
      </c>
      <c r="C16" s="24" t="s">
        <v>104</v>
      </c>
      <c r="D16" s="25" t="s">
        <v>40</v>
      </c>
      <c r="E16" s="24" t="s">
        <v>29</v>
      </c>
      <c r="F16" s="24" t="s">
        <v>105</v>
      </c>
      <c r="G16" s="24" t="s">
        <v>106</v>
      </c>
      <c r="H16" s="24" t="s">
        <v>91</v>
      </c>
      <c r="I16" s="16" t="n">
        <v>0.45</v>
      </c>
      <c r="J16" s="26" t="n">
        <f aca="false">B16*I16</f>
        <v>0.45</v>
      </c>
      <c r="K16" s="24" t="s">
        <v>107</v>
      </c>
    </row>
    <row r="17" customFormat="false" ht="27.75" hidden="false" customHeight="true" outlineLevel="0" collapsed="false">
      <c r="A17" s="24" t="n">
        <v>13</v>
      </c>
      <c r="B17" s="14" t="n">
        <v>1</v>
      </c>
      <c r="C17" s="24" t="s">
        <v>108</v>
      </c>
      <c r="D17" s="25" t="s">
        <v>43</v>
      </c>
      <c r="E17" s="24" t="s">
        <v>29</v>
      </c>
      <c r="F17" s="24" t="s">
        <v>109</v>
      </c>
      <c r="G17" s="24" t="s">
        <v>110</v>
      </c>
      <c r="H17" s="24" t="s">
        <v>91</v>
      </c>
      <c r="I17" s="16" t="n">
        <v>1.2</v>
      </c>
      <c r="J17" s="26" t="n">
        <f aca="false">B17*I17</f>
        <v>1.2</v>
      </c>
      <c r="K17" s="24" t="s">
        <v>111</v>
      </c>
    </row>
    <row r="18" customFormat="false" ht="27.75" hidden="false" customHeight="true" outlineLevel="0" collapsed="false">
      <c r="A18" s="24" t="n">
        <v>14</v>
      </c>
      <c r="B18" s="14" t="n">
        <v>1</v>
      </c>
      <c r="C18" s="24" t="s">
        <v>112</v>
      </c>
      <c r="D18" s="25" t="s">
        <v>113</v>
      </c>
      <c r="E18" s="24" t="s">
        <v>29</v>
      </c>
      <c r="F18" s="24" t="s">
        <v>114</v>
      </c>
      <c r="G18" s="24" t="s">
        <v>115</v>
      </c>
      <c r="H18" s="24" t="s">
        <v>91</v>
      </c>
      <c r="I18" s="16" t="n">
        <v>0.45</v>
      </c>
      <c r="J18" s="26" t="n">
        <f aca="false">B18*I18</f>
        <v>0.45</v>
      </c>
      <c r="K18" s="24" t="s">
        <v>116</v>
      </c>
    </row>
    <row r="19" customFormat="false" ht="27.75" hidden="false" customHeight="true" outlineLevel="0" collapsed="false">
      <c r="A19" s="27" t="n">
        <v>15</v>
      </c>
      <c r="B19" s="14" t="n">
        <v>1</v>
      </c>
      <c r="C19" s="27" t="s">
        <v>7</v>
      </c>
      <c r="D19" s="28" t="s">
        <v>117</v>
      </c>
      <c r="E19" s="27" t="s">
        <v>118</v>
      </c>
      <c r="F19" s="27" t="s">
        <v>119</v>
      </c>
      <c r="G19" s="27" t="s">
        <v>120</v>
      </c>
      <c r="H19" s="27" t="s">
        <v>121</v>
      </c>
      <c r="I19" s="16" t="n">
        <v>2.27</v>
      </c>
      <c r="J19" s="29" t="n">
        <f aca="false">B19*I19</f>
        <v>2.27</v>
      </c>
      <c r="K19" s="27" t="s">
        <v>122</v>
      </c>
    </row>
    <row r="20" customFormat="false" ht="27.75" hidden="false" customHeight="true" outlineLevel="0" collapsed="false">
      <c r="A20" s="27" t="n">
        <v>16</v>
      </c>
      <c r="B20" s="14" t="n">
        <v>1</v>
      </c>
      <c r="C20" s="27" t="s">
        <v>12</v>
      </c>
      <c r="D20" s="28" t="s">
        <v>117</v>
      </c>
      <c r="E20" s="27" t="s">
        <v>118</v>
      </c>
      <c r="F20" s="27" t="s">
        <v>123</v>
      </c>
      <c r="G20" s="27" t="s">
        <v>120</v>
      </c>
      <c r="H20" s="27" t="s">
        <v>121</v>
      </c>
      <c r="I20" s="16" t="n">
        <v>2.27</v>
      </c>
      <c r="J20" s="29" t="n">
        <f aca="false">B20*I20</f>
        <v>2.27</v>
      </c>
      <c r="K20" s="27" t="s">
        <v>124</v>
      </c>
    </row>
    <row r="21" customFormat="false" ht="27.75" hidden="false" customHeight="true" outlineLevel="0" collapsed="false">
      <c r="A21" s="27" t="n">
        <v>17</v>
      </c>
      <c r="B21" s="14" t="n">
        <v>1</v>
      </c>
      <c r="C21" s="27" t="s">
        <v>16</v>
      </c>
      <c r="D21" s="28" t="s">
        <v>117</v>
      </c>
      <c r="E21" s="27" t="s">
        <v>118</v>
      </c>
      <c r="F21" s="27" t="s">
        <v>125</v>
      </c>
      <c r="G21" s="27" t="s">
        <v>120</v>
      </c>
      <c r="H21" s="27" t="s">
        <v>121</v>
      </c>
      <c r="I21" s="16" t="n">
        <v>2.27</v>
      </c>
      <c r="J21" s="29" t="n">
        <f aca="false">B21*I21</f>
        <v>2.27</v>
      </c>
      <c r="K21" s="27"/>
    </row>
    <row r="22" customFormat="false" ht="27.75" hidden="false" customHeight="true" outlineLevel="0" collapsed="false">
      <c r="A22" s="27" t="n">
        <v>18</v>
      </c>
      <c r="B22" s="14" t="n">
        <v>1</v>
      </c>
      <c r="C22" s="27" t="s">
        <v>19</v>
      </c>
      <c r="D22" s="28" t="s">
        <v>117</v>
      </c>
      <c r="E22" s="27" t="s">
        <v>118</v>
      </c>
      <c r="F22" s="27" t="s">
        <v>126</v>
      </c>
      <c r="G22" s="27" t="s">
        <v>120</v>
      </c>
      <c r="H22" s="27" t="s">
        <v>121</v>
      </c>
      <c r="I22" s="16" t="n">
        <v>2.27</v>
      </c>
      <c r="J22" s="29" t="n">
        <f aca="false">B22*I22</f>
        <v>2.27</v>
      </c>
      <c r="K22" s="27"/>
    </row>
    <row r="23" customFormat="false" ht="27.75" hidden="false" customHeight="true" outlineLevel="0" collapsed="false">
      <c r="A23" s="30" t="n">
        <v>19</v>
      </c>
      <c r="B23" s="14" t="n">
        <v>8</v>
      </c>
      <c r="C23" s="30" t="s">
        <v>127</v>
      </c>
      <c r="D23" s="31" t="s">
        <v>128</v>
      </c>
      <c r="E23" s="30" t="s">
        <v>29</v>
      </c>
      <c r="F23" s="30" t="s">
        <v>129</v>
      </c>
      <c r="G23" s="30" t="s">
        <v>130</v>
      </c>
      <c r="H23" s="30" t="s">
        <v>131</v>
      </c>
      <c r="I23" s="16" t="n">
        <v>0.42</v>
      </c>
      <c r="J23" s="32" t="n">
        <f aca="false">B23*I23</f>
        <v>3.36</v>
      </c>
      <c r="K23" s="30" t="s">
        <v>132</v>
      </c>
    </row>
    <row r="24" customFormat="false" ht="27.75" hidden="false" customHeight="true" outlineLevel="0" collapsed="false">
      <c r="A24" s="30" t="n">
        <v>20</v>
      </c>
      <c r="B24" s="14" t="n">
        <v>4</v>
      </c>
      <c r="C24" s="30" t="s">
        <v>133</v>
      </c>
      <c r="D24" s="31" t="s">
        <v>134</v>
      </c>
      <c r="E24" s="30" t="s">
        <v>29</v>
      </c>
      <c r="F24" s="30" t="s">
        <v>135</v>
      </c>
      <c r="G24" s="30" t="s">
        <v>136</v>
      </c>
      <c r="H24" s="30" t="s">
        <v>131</v>
      </c>
      <c r="I24" s="16" t="n">
        <v>0.38</v>
      </c>
      <c r="J24" s="32" t="n">
        <f aca="false">B24*I24</f>
        <v>1.52</v>
      </c>
      <c r="K24" s="30"/>
    </row>
    <row r="25" customFormat="false" ht="27.75" hidden="false" customHeight="true" outlineLevel="0" collapsed="false">
      <c r="A25" s="30" t="n">
        <v>21</v>
      </c>
      <c r="B25" s="14" t="n">
        <v>4</v>
      </c>
      <c r="C25" s="30" t="s">
        <v>137</v>
      </c>
      <c r="D25" s="31" t="s">
        <v>138</v>
      </c>
      <c r="E25" s="30" t="s">
        <v>139</v>
      </c>
      <c r="F25" s="30" t="s">
        <v>140</v>
      </c>
      <c r="G25" s="30" t="s">
        <v>141</v>
      </c>
      <c r="H25" s="30" t="s">
        <v>131</v>
      </c>
      <c r="I25" s="16" t="n">
        <v>0.08</v>
      </c>
      <c r="J25" s="32" t="n">
        <f aca="false">B25*I25</f>
        <v>0.32</v>
      </c>
      <c r="K25" s="30" t="s">
        <v>142</v>
      </c>
    </row>
    <row r="26" customFormat="false" ht="27.75" hidden="false" customHeight="true" outlineLevel="0" collapsed="false">
      <c r="A26" s="18" t="n">
        <v>22</v>
      </c>
      <c r="B26" s="14" t="n">
        <v>16</v>
      </c>
      <c r="C26" s="18" t="s">
        <v>143</v>
      </c>
      <c r="D26" s="19" t="s">
        <v>144</v>
      </c>
      <c r="E26" s="18" t="s">
        <v>69</v>
      </c>
      <c r="F26" s="18" t="s">
        <v>145</v>
      </c>
      <c r="G26" s="18" t="s">
        <v>71</v>
      </c>
      <c r="H26" s="18" t="s">
        <v>72</v>
      </c>
      <c r="I26" s="16" t="n">
        <v>0.04</v>
      </c>
      <c r="J26" s="20" t="n">
        <f aca="false">B26*I26</f>
        <v>0.64</v>
      </c>
      <c r="K26" s="18" t="s">
        <v>146</v>
      </c>
    </row>
    <row r="27" customFormat="false" ht="27.75" hidden="false" customHeight="true" outlineLevel="0" collapsed="false">
      <c r="A27" s="18" t="n">
        <v>23</v>
      </c>
      <c r="B27" s="14" t="n">
        <v>4</v>
      </c>
      <c r="C27" s="18" t="s">
        <v>147</v>
      </c>
      <c r="D27" s="19" t="s">
        <v>148</v>
      </c>
      <c r="E27" s="18" t="s">
        <v>101</v>
      </c>
      <c r="F27" s="18" t="s">
        <v>149</v>
      </c>
      <c r="G27" s="18" t="s">
        <v>71</v>
      </c>
      <c r="H27" s="18" t="s">
        <v>72</v>
      </c>
      <c r="I27" s="16" t="n">
        <v>0.02</v>
      </c>
      <c r="J27" s="20" t="n">
        <f aca="false">B27*I27</f>
        <v>0.08</v>
      </c>
      <c r="K27" s="18" t="s">
        <v>150</v>
      </c>
    </row>
    <row r="28" customFormat="false" ht="27.75" hidden="false" customHeight="true" outlineLevel="0" collapsed="false">
      <c r="A28" s="18" t="n">
        <v>24</v>
      </c>
      <c r="B28" s="14" t="n">
        <v>3</v>
      </c>
      <c r="C28" s="18" t="s">
        <v>151</v>
      </c>
      <c r="D28" s="19" t="s">
        <v>152</v>
      </c>
      <c r="E28" s="18" t="s">
        <v>101</v>
      </c>
      <c r="F28" s="18" t="s">
        <v>153</v>
      </c>
      <c r="G28" s="18" t="s">
        <v>71</v>
      </c>
      <c r="H28" s="18" t="s">
        <v>72</v>
      </c>
      <c r="I28" s="16" t="n">
        <v>0.02</v>
      </c>
      <c r="J28" s="20" t="n">
        <f aca="false">B28*I28</f>
        <v>0.06</v>
      </c>
      <c r="K28" s="18" t="s">
        <v>154</v>
      </c>
    </row>
    <row r="29" customFormat="false" ht="27.75" hidden="false" customHeight="true" outlineLevel="0" collapsed="false">
      <c r="A29" s="18" t="n">
        <v>25</v>
      </c>
      <c r="B29" s="14" t="n">
        <v>4</v>
      </c>
      <c r="C29" s="18" t="s">
        <v>155</v>
      </c>
      <c r="D29" s="19" t="s">
        <v>156</v>
      </c>
      <c r="E29" s="18" t="s">
        <v>69</v>
      </c>
      <c r="F29" s="18" t="s">
        <v>157</v>
      </c>
      <c r="G29" s="18" t="s">
        <v>158</v>
      </c>
      <c r="H29" s="18" t="s">
        <v>72</v>
      </c>
      <c r="I29" s="16" t="n">
        <v>0.08</v>
      </c>
      <c r="J29" s="20" t="n">
        <f aca="false">B29*I29</f>
        <v>0.32</v>
      </c>
      <c r="K29" s="18" t="s">
        <v>159</v>
      </c>
    </row>
    <row r="30" customFormat="false" ht="27.75" hidden="false" customHeight="true" outlineLevel="0" collapsed="false">
      <c r="A30" s="18" t="n">
        <v>26</v>
      </c>
      <c r="B30" s="14" t="n">
        <v>1</v>
      </c>
      <c r="C30" s="18" t="s">
        <v>160</v>
      </c>
      <c r="D30" s="19" t="s">
        <v>161</v>
      </c>
      <c r="E30" s="18" t="s">
        <v>162</v>
      </c>
      <c r="F30" s="18" t="s">
        <v>163</v>
      </c>
      <c r="G30" s="18" t="s">
        <v>164</v>
      </c>
      <c r="H30" s="18" t="s">
        <v>72</v>
      </c>
      <c r="I30" s="16" t="n">
        <v>0.85</v>
      </c>
      <c r="J30" s="20" t="n">
        <f aca="false">B30*I30</f>
        <v>0.85</v>
      </c>
      <c r="K30" s="18" t="s">
        <v>165</v>
      </c>
    </row>
    <row r="31" customFormat="false" ht="27.75" hidden="false" customHeight="true" outlineLevel="0" collapsed="false">
      <c r="A31" s="18" t="n">
        <v>27</v>
      </c>
      <c r="B31" s="14" t="n">
        <v>20</v>
      </c>
      <c r="C31" s="18" t="s">
        <v>166</v>
      </c>
      <c r="D31" s="19" t="s">
        <v>167</v>
      </c>
      <c r="E31" s="18" t="s">
        <v>69</v>
      </c>
      <c r="F31" s="18" t="s">
        <v>168</v>
      </c>
      <c r="G31" s="18" t="s">
        <v>71</v>
      </c>
      <c r="H31" s="18" t="s">
        <v>72</v>
      </c>
      <c r="I31" s="16" t="n">
        <v>0.03</v>
      </c>
      <c r="J31" s="20" t="n">
        <f aca="false">B31*I31</f>
        <v>0.6</v>
      </c>
      <c r="K31" s="18" t="s">
        <v>169</v>
      </c>
    </row>
    <row r="32" customFormat="false" ht="27.75" hidden="false" customHeight="true" outlineLevel="0" collapsed="false">
      <c r="A32" s="18" t="n">
        <v>28</v>
      </c>
      <c r="B32" s="14" t="n">
        <v>24</v>
      </c>
      <c r="C32" s="18" t="s">
        <v>170</v>
      </c>
      <c r="D32" s="19" t="s">
        <v>171</v>
      </c>
      <c r="E32" s="18" t="s">
        <v>69</v>
      </c>
      <c r="F32" s="18" t="s">
        <v>172</v>
      </c>
      <c r="G32" s="18" t="s">
        <v>71</v>
      </c>
      <c r="H32" s="18" t="s">
        <v>72</v>
      </c>
      <c r="I32" s="16" t="n">
        <v>0.02</v>
      </c>
      <c r="J32" s="20" t="n">
        <f aca="false">B32*I32</f>
        <v>0.48</v>
      </c>
      <c r="K32" s="18"/>
    </row>
    <row r="33" customFormat="false" ht="27.75" hidden="false" customHeight="true" outlineLevel="0" collapsed="false">
      <c r="A33" s="18" t="n">
        <v>29</v>
      </c>
      <c r="B33" s="14" t="n">
        <v>2</v>
      </c>
      <c r="C33" s="18" t="s">
        <v>173</v>
      </c>
      <c r="D33" s="19" t="s">
        <v>174</v>
      </c>
      <c r="E33" s="18" t="s">
        <v>101</v>
      </c>
      <c r="F33" s="18" t="s">
        <v>175</v>
      </c>
      <c r="G33" s="18" t="s">
        <v>71</v>
      </c>
      <c r="H33" s="18" t="s">
        <v>72</v>
      </c>
      <c r="I33" s="16" t="n">
        <v>0.02</v>
      </c>
      <c r="J33" s="20" t="n">
        <f aca="false">B33*I33</f>
        <v>0.04</v>
      </c>
      <c r="K33" s="18" t="s">
        <v>176</v>
      </c>
    </row>
    <row r="34" customFormat="false" ht="27.75" hidden="false" customHeight="true" outlineLevel="0" collapsed="false">
      <c r="A34" s="18" t="n">
        <v>30</v>
      </c>
      <c r="B34" s="14" t="n">
        <v>1</v>
      </c>
      <c r="C34" s="18" t="s">
        <v>177</v>
      </c>
      <c r="D34" s="19" t="s">
        <v>178</v>
      </c>
      <c r="E34" s="18" t="s">
        <v>69</v>
      </c>
      <c r="F34" s="18" t="s">
        <v>179</v>
      </c>
      <c r="G34" s="18" t="s">
        <v>71</v>
      </c>
      <c r="H34" s="18" t="s">
        <v>72</v>
      </c>
      <c r="I34" s="16" t="n">
        <v>0.04</v>
      </c>
      <c r="J34" s="20" t="n">
        <f aca="false">B34*I34</f>
        <v>0.04</v>
      </c>
      <c r="K34" s="18" t="s">
        <v>180</v>
      </c>
    </row>
    <row r="35" customFormat="false" ht="27.75" hidden="false" customHeight="true" outlineLevel="0" collapsed="false">
      <c r="A35" s="33" t="n">
        <v>31</v>
      </c>
      <c r="B35" s="14" t="n">
        <v>1</v>
      </c>
      <c r="C35" s="33" t="s">
        <v>181</v>
      </c>
      <c r="D35" s="34" t="s">
        <v>182</v>
      </c>
      <c r="E35" s="33" t="s">
        <v>183</v>
      </c>
      <c r="F35" s="33" t="s">
        <v>184</v>
      </c>
      <c r="G35" s="33" t="s">
        <v>185</v>
      </c>
      <c r="H35" s="33" t="s">
        <v>186</v>
      </c>
      <c r="I35" s="16" t="n">
        <v>18</v>
      </c>
      <c r="J35" s="35" t="n">
        <f aca="false">B35*I35</f>
        <v>18</v>
      </c>
      <c r="K35" s="33" t="s">
        <v>187</v>
      </c>
    </row>
    <row r="36" customFormat="false" ht="27.75" hidden="false" customHeight="true" outlineLevel="0" collapsed="false">
      <c r="A36" s="33" t="n">
        <v>32</v>
      </c>
      <c r="B36" s="14" t="n">
        <v>4</v>
      </c>
      <c r="C36" s="33" t="s">
        <v>188</v>
      </c>
      <c r="D36" s="34" t="s">
        <v>189</v>
      </c>
      <c r="E36" s="33" t="s">
        <v>190</v>
      </c>
      <c r="F36" s="33" t="s">
        <v>191</v>
      </c>
      <c r="G36" s="33" t="s">
        <v>192</v>
      </c>
      <c r="H36" s="33" t="s">
        <v>186</v>
      </c>
      <c r="I36" s="16" t="n">
        <v>0.4</v>
      </c>
      <c r="J36" s="35" t="n">
        <f aca="false">B36*I36</f>
        <v>1.6</v>
      </c>
      <c r="K36" s="33"/>
    </row>
    <row r="37" customFormat="false" ht="15" hidden="false" customHeight="false" outlineLevel="0" collapsed="false">
      <c r="H37" s="36" t="s">
        <v>193</v>
      </c>
      <c r="I37" s="37"/>
      <c r="J37" s="38" t="n">
        <f aca="false">SUM(J5:J36)</f>
        <v>55.14</v>
      </c>
    </row>
    <row r="39" customFormat="false" ht="16.15" hidden="false" customHeight="false" outlineLevel="0" collapsed="false">
      <c r="A39" s="39" t="s">
        <v>194</v>
      </c>
    </row>
    <row r="40" customFormat="false" ht="23.85" hidden="false" customHeight="false" outlineLevel="0" collapsed="false">
      <c r="A40" s="3" t="s">
        <v>195</v>
      </c>
      <c r="B40" s="3" t="s">
        <v>54</v>
      </c>
      <c r="C40" s="3" t="s">
        <v>196</v>
      </c>
    </row>
    <row r="41" customFormat="false" ht="15" hidden="false" customHeight="false" outlineLevel="0" collapsed="false">
      <c r="A41" s="40" t="s">
        <v>59</v>
      </c>
      <c r="B41" s="41" t="n">
        <f aca="false">SUMIF($H$5:$H$36,A41,$J$5:$J$36)</f>
        <v>5.95</v>
      </c>
      <c r="C41" s="42" t="n">
        <f aca="false">IF($J$37=0,0,B41/$J$37)</f>
        <v>0.107907145447951</v>
      </c>
    </row>
    <row r="42" customFormat="false" ht="15" hidden="false" customHeight="false" outlineLevel="0" collapsed="false">
      <c r="A42" s="43" t="s">
        <v>77</v>
      </c>
      <c r="B42" s="44" t="n">
        <f aca="false">SUMIF($H$5:$H$36,A42,$J$5:$J$36)</f>
        <v>7.4</v>
      </c>
      <c r="C42" s="45" t="n">
        <f aca="false">IF($J$37=0,0,B42/$J$37)</f>
        <v>0.134203844758796</v>
      </c>
    </row>
    <row r="43" customFormat="false" ht="15" hidden="false" customHeight="false" outlineLevel="0" collapsed="false">
      <c r="A43" s="46" t="s">
        <v>91</v>
      </c>
      <c r="B43" s="47" t="n">
        <f aca="false">SUMIF($H$5:$H$36,A43,$J$5:$J$36)</f>
        <v>4.65</v>
      </c>
      <c r="C43" s="48" t="n">
        <f aca="false">IF($J$37=0,0,B43/$J$37)</f>
        <v>0.0843307943416757</v>
      </c>
    </row>
    <row r="44" customFormat="false" ht="15" hidden="false" customHeight="false" outlineLevel="0" collapsed="false">
      <c r="A44" s="49" t="s">
        <v>131</v>
      </c>
      <c r="B44" s="50" t="n">
        <f aca="false">SUMIF($H$5:$H$36,A44,$J$5:$J$36)</f>
        <v>5.2</v>
      </c>
      <c r="C44" s="51" t="n">
        <f aca="false">IF($J$37=0,0,B44/$J$37)</f>
        <v>0.0943054044250997</v>
      </c>
    </row>
    <row r="45" customFormat="false" ht="15" hidden="false" customHeight="false" outlineLevel="0" collapsed="false">
      <c r="A45" s="52" t="s">
        <v>121</v>
      </c>
      <c r="B45" s="53" t="n">
        <f aca="false">SUMIF($H$5:$H$36,A45,$J$5:$J$36)</f>
        <v>9.08</v>
      </c>
      <c r="C45" s="54" t="n">
        <f aca="false">IF($J$37=0,0,B45/$J$37)</f>
        <v>0.164671744649982</v>
      </c>
    </row>
    <row r="46" customFormat="false" ht="15" hidden="false" customHeight="false" outlineLevel="0" collapsed="false">
      <c r="A46" s="55" t="s">
        <v>72</v>
      </c>
      <c r="B46" s="56" t="n">
        <f aca="false">SUMIF($H$5:$H$36,A46,$J$5:$J$36)</f>
        <v>3.26</v>
      </c>
      <c r="C46" s="57" t="n">
        <f aca="false">IF($J$37=0,0,B46/$J$37)</f>
        <v>0.0591222343126587</v>
      </c>
    </row>
    <row r="47" customFormat="false" ht="15" hidden="false" customHeight="false" outlineLevel="0" collapsed="false">
      <c r="A47" s="58" t="s">
        <v>186</v>
      </c>
      <c r="B47" s="59" t="n">
        <f aca="false">SUMIF($H$5:$H$36,A47,$J$5:$J$36)</f>
        <v>19.6</v>
      </c>
      <c r="C47" s="60" t="n">
        <f aca="false">IF($J$37=0,0,B47/$J$37)</f>
        <v>0.355458832063838</v>
      </c>
    </row>
    <row r="48" customFormat="false" ht="15" hidden="false" customHeight="false" outlineLevel="0" collapsed="false">
      <c r="A48" s="61" t="s">
        <v>197</v>
      </c>
      <c r="B48" s="62" t="n">
        <f aca="false">SUM(B41:B47)</f>
        <v>55.14</v>
      </c>
      <c r="C48" s="62" t="n">
        <f aca="false">B48-J37</f>
        <v>0</v>
      </c>
    </row>
  </sheetData>
  <autoFilter ref="A4:K3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&amp;L4-port Type-C only  |  1 in + 3 out  |  no MCU  |  no barrel&amp;RPage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1" t="s">
        <v>198</v>
      </c>
      <c r="B1" s="1"/>
      <c r="C1" s="1"/>
      <c r="D1" s="1"/>
    </row>
    <row r="3" customFormat="false" ht="15" hidden="false" customHeight="false" outlineLevel="0" collapsed="false">
      <c r="A3" s="3" t="s">
        <v>199</v>
      </c>
      <c r="B3" s="3" t="s">
        <v>200</v>
      </c>
      <c r="C3" s="3" t="s">
        <v>201</v>
      </c>
      <c r="D3" s="3" t="s">
        <v>202</v>
      </c>
    </row>
    <row r="4" customFormat="false" ht="21.75" hidden="false" customHeight="true" outlineLevel="0" collapsed="false">
      <c r="A4" s="63" t="s">
        <v>203</v>
      </c>
      <c r="B4" s="14" t="n">
        <v>4</v>
      </c>
      <c r="C4" s="64" t="n">
        <f aca="false">SUMIF(BOM!D:D,"124019572112A",BOM!B:B)</f>
        <v>4</v>
      </c>
      <c r="D4" s="65" t="str">
        <f aca="false">IF(C4=B4,"PASS","FAIL")</f>
        <v>PASS</v>
      </c>
    </row>
    <row r="5" customFormat="false" ht="21.75" hidden="false" customHeight="true" outlineLevel="0" collapsed="false">
      <c r="A5" s="63" t="s">
        <v>204</v>
      </c>
      <c r="B5" s="14" t="n">
        <v>4</v>
      </c>
      <c r="C5" s="64" t="n">
        <f aca="false">SUMIF(BOM!D:D,"HD3SS3220RNHR",BOM!B:B)</f>
        <v>4</v>
      </c>
      <c r="D5" s="65" t="str">
        <f aca="false">IF(C5=B5,"PASS","FAIL")</f>
        <v>PASS</v>
      </c>
    </row>
    <row r="6" customFormat="false" ht="21.75" hidden="false" customHeight="true" outlineLevel="0" collapsed="false">
      <c r="A6" s="63" t="s">
        <v>205</v>
      </c>
      <c r="B6" s="14" t="n">
        <v>3</v>
      </c>
      <c r="C6" s="64" t="n">
        <f aca="false">SUMIF(BOM!D:D,"TPS2553DBVR",BOM!B:B)</f>
        <v>3</v>
      </c>
      <c r="D6" s="65" t="str">
        <f aca="false">IF(C6=B6,"PASS","FAIL")</f>
        <v>PASS</v>
      </c>
    </row>
    <row r="7" customFormat="false" ht="21.75" hidden="false" customHeight="true" outlineLevel="0" collapsed="false">
      <c r="A7" s="63" t="s">
        <v>206</v>
      </c>
      <c r="B7" s="14" t="n">
        <v>1</v>
      </c>
      <c r="C7" s="64" t="n">
        <f aca="false">SUMIF(BOM!D:D,"TUSB8041ARGCR",BOM!B:B)</f>
        <v>1</v>
      </c>
      <c r="D7" s="65" t="str">
        <f aca="false">IF(C7=B7,"PASS","FAIL")</f>
        <v>PASS</v>
      </c>
    </row>
    <row r="8" customFormat="false" ht="21.75" hidden="false" customHeight="true" outlineLevel="0" collapsed="false">
      <c r="A8" s="63" t="s">
        <v>207</v>
      </c>
      <c r="B8" s="14" t="n">
        <v>0</v>
      </c>
      <c r="C8" s="64" t="n">
        <f aca="false">COUNTIF(BOM!F:F,"*Barrel*")</f>
        <v>0</v>
      </c>
      <c r="D8" s="65" t="str">
        <f aca="false">IF(C8=B8,"PASS","FAIL")</f>
        <v>PASS</v>
      </c>
    </row>
    <row r="9" customFormat="false" ht="21.75" hidden="false" customHeight="true" outlineLevel="0" collapsed="false">
      <c r="A9" s="63" t="s">
        <v>208</v>
      </c>
      <c r="B9" s="14" t="n">
        <v>0</v>
      </c>
      <c r="C9" s="64" t="n">
        <f aca="false">COUNTIF(BOM!D:D,"*STM32*")+COUNTIF(BOM!D:D,"*MSP*")</f>
        <v>0</v>
      </c>
      <c r="D9" s="65" t="str">
        <f aca="false">IF(C9=B9,"PASS","FAIL")</f>
        <v>PASS</v>
      </c>
    </row>
  </sheetData>
  <mergeCells count="1">
    <mergeCell ref="A1:D1"/>
  </mergeCells>
  <conditionalFormatting sqref="D4:D9">
    <cfRule type="expression" priority="2" aboveAverage="0" equalAverage="0" bottom="0" percent="0" rank="0" text="" dxfId="12">
      <formula>D4="PASS"</formula>
    </cfRule>
    <cfRule type="expression" priority="3" aboveAverage="0" equalAverage="0" bottom="0" percent="0" rank="0" text="" dxfId="13">
      <formula>D4="FAIL"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2026-09-21T07:30:16Z</dcterms:created>
  <dc:creator>openpyxl</dc:creator>
  <dc:description/>
  <dc:language>en-US</dc:language>
  <cp:lastModifiedBy/>
  <dcterms:modified xsi:type="dcterms:W3CDTF">2026-09-21T07:30:20Z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