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02f7ae8e0d8c7c2/Documents/side_project/USB_Hub_SS_1to3_Routing_Practice/usb_c_ss_hub_1to3_v1/"/>
    </mc:Choice>
  </mc:AlternateContent>
  <xr:revisionPtr revIDLastSave="1" documentId="11_5754AD3070A83692ABE7A8405041B9D712BBAD95" xr6:coauthVersionLast="47" xr6:coauthVersionMax="47" xr10:uidLastSave="{D0F8EA4C-2B39-4A8F-8A5D-96A861C24C78}"/>
  <bookViews>
    <workbookView xWindow="-28920" yWindow="-105" windowWidth="29040" windowHeight="16440" tabRatio="500" xr2:uid="{00000000-000D-0000-FFFF-FFFF00000000}"/>
  </bookViews>
  <sheets>
    <sheet name="BOM" sheetId="1" r:id="rId1"/>
    <sheet name="Buy_List" sheetId="2" r:id="rId2"/>
    <sheet name="Spec" sheetId="3" r:id="rId3"/>
  </sheets>
  <definedNames>
    <definedName name="_xlnm._FilterDatabase" localSheetId="0" hidden="1">BOM!$A$4:$L$45</definedName>
    <definedName name="_xlnm.Print_Titles" localSheetId="0">BOM!$1:$4</definedName>
    <definedName name="_xlnm.Print_Titles" localSheetId="1">Buy_List!$1:$3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3" i="2" l="1"/>
  <c r="C33" i="2"/>
  <c r="E33" i="2" s="1"/>
  <c r="D32" i="2"/>
  <c r="C32" i="2"/>
  <c r="E32" i="2" s="1"/>
  <c r="D31" i="2"/>
  <c r="C31" i="2"/>
  <c r="E31" i="2" s="1"/>
  <c r="D30" i="2"/>
  <c r="C30" i="2"/>
  <c r="E30" i="2" s="1"/>
  <c r="D29" i="2"/>
  <c r="C29" i="2"/>
  <c r="E29" i="2" s="1"/>
  <c r="D28" i="2"/>
  <c r="C28" i="2"/>
  <c r="E28" i="2" s="1"/>
  <c r="D27" i="2"/>
  <c r="E27" i="2" s="1"/>
  <c r="C27" i="2"/>
  <c r="D26" i="2"/>
  <c r="C26" i="2"/>
  <c r="E26" i="2" s="1"/>
  <c r="D25" i="2"/>
  <c r="C25" i="2"/>
  <c r="E25" i="2" s="1"/>
  <c r="D24" i="2"/>
  <c r="C24" i="2"/>
  <c r="E24" i="2" s="1"/>
  <c r="D23" i="2"/>
  <c r="C23" i="2"/>
  <c r="E23" i="2" s="1"/>
  <c r="D22" i="2"/>
  <c r="C22" i="2"/>
  <c r="E22" i="2" s="1"/>
  <c r="D21" i="2"/>
  <c r="C21" i="2"/>
  <c r="E21" i="2" s="1"/>
  <c r="D20" i="2"/>
  <c r="C20" i="2"/>
  <c r="E20" i="2" s="1"/>
  <c r="D19" i="2"/>
  <c r="C19" i="2"/>
  <c r="E19" i="2" s="1"/>
  <c r="D18" i="2"/>
  <c r="C18" i="2"/>
  <c r="D17" i="2"/>
  <c r="C17" i="2"/>
  <c r="E17" i="2" s="1"/>
  <c r="D16" i="2"/>
  <c r="C16" i="2"/>
  <c r="E16" i="2" s="1"/>
  <c r="D15" i="2"/>
  <c r="C15" i="2"/>
  <c r="E15" i="2" s="1"/>
  <c r="D14" i="2"/>
  <c r="C14" i="2"/>
  <c r="E14" i="2" s="1"/>
  <c r="D13" i="2"/>
  <c r="C13" i="2"/>
  <c r="E13" i="2" s="1"/>
  <c r="D12" i="2"/>
  <c r="C12" i="2"/>
  <c r="E12" i="2" s="1"/>
  <c r="D11" i="2"/>
  <c r="C11" i="2"/>
  <c r="E11" i="2" s="1"/>
  <c r="D10" i="2"/>
  <c r="C10" i="2"/>
  <c r="E10" i="2" s="1"/>
  <c r="D9" i="2"/>
  <c r="C9" i="2"/>
  <c r="E9" i="2" s="1"/>
  <c r="D8" i="2"/>
  <c r="C8" i="2"/>
  <c r="E8" i="2" s="1"/>
  <c r="D7" i="2"/>
  <c r="C7" i="2"/>
  <c r="E7" i="2" s="1"/>
  <c r="D6" i="2"/>
  <c r="C6" i="2"/>
  <c r="E6" i="2" s="1"/>
  <c r="D5" i="2"/>
  <c r="C5" i="2"/>
  <c r="E5" i="2" s="1"/>
  <c r="D4" i="2"/>
  <c r="C4" i="2"/>
  <c r="B56" i="1"/>
  <c r="B55" i="1"/>
  <c r="B53" i="1"/>
  <c r="B51" i="1"/>
  <c r="B50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B54" i="1" s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B52" i="1" s="1"/>
  <c r="J13" i="1"/>
  <c r="J12" i="1"/>
  <c r="J11" i="1"/>
  <c r="J10" i="1"/>
  <c r="J9" i="1"/>
  <c r="J8" i="1"/>
  <c r="J7" i="1"/>
  <c r="J6" i="1"/>
  <c r="J5" i="1"/>
  <c r="E18" i="2" l="1"/>
  <c r="E4" i="2"/>
  <c r="E34" i="2"/>
  <c r="J46" i="1"/>
  <c r="C54" i="1" l="1"/>
  <c r="C50" i="1"/>
  <c r="C53" i="1"/>
  <c r="C52" i="1"/>
  <c r="C51" i="1"/>
  <c r="C56" i="1"/>
  <c r="C55" i="1"/>
  <c r="E35" i="2"/>
</calcChain>
</file>

<file path=xl/sharedStrings.xml><?xml version="1.0" encoding="utf-8"?>
<sst xmlns="http://schemas.openxmlformats.org/spreadsheetml/2006/main" count="422" uniqueCount="225">
  <si>
    <t>Case C complete BOM  —  1 Type-C in + 3 Type-C out  |  SOT-23 LDO 3.3 V + SOT-23 buck 1.1 V</t>
  </si>
  <si>
    <t>No MCU. No barrel. Host 5 V only. Hand-solder converters: TLV75533PDBVR (5→3.3 SOT-23-5) + TLV62569PDDCR (5→1.1 SOT-23-6). Size 1.1 V for 0.70 A (563 mA typ 3×SS U0). USD qty-1 cut-tape ballpark. Yellow = inputs. Ext = Qty×Unit.</t>
  </si>
  <si>
    <t>Item</t>
  </si>
  <si>
    <t>Qty</t>
  </si>
  <si>
    <t>Ref des</t>
  </si>
  <si>
    <t>MPN</t>
  </si>
  <si>
    <t>Mfr</t>
  </si>
  <si>
    <t>Description</t>
  </si>
  <si>
    <t>Package</t>
  </si>
  <si>
    <t>Cat</t>
  </si>
  <si>
    <t>Unit USD</t>
  </si>
  <si>
    <t>Ext USD</t>
  </si>
  <si>
    <t>DNP</t>
  </si>
  <si>
    <t>Note</t>
  </si>
  <si>
    <t>U1</t>
  </si>
  <si>
    <t>TUSB8041ARGCR</t>
  </si>
  <si>
    <t>Texas Instruments</t>
  </si>
  <si>
    <t>4-port USB 3.1 Gen1 SuperSpeed hub</t>
  </si>
  <si>
    <t>VQFN-64</t>
  </si>
  <si>
    <t>DATA</t>
  </si>
  <si>
    <t>SDA/SCL floating. SMBUSz NC. GRSTz = 1 µF to GND, released after 3.3 V and 1.1 V up.</t>
  </si>
  <si>
    <t>Y1</t>
  </si>
  <si>
    <t>ABM8-24.000MHZ-B2-T</t>
  </si>
  <si>
    <t>Abracon</t>
  </si>
  <si>
    <t>24.000 MHz crystal ±20 ppm</t>
  </si>
  <si>
    <t>3.2×2.5</t>
  </si>
  <si>
    <t>Next to XI/XO. Away from L32.</t>
  </si>
  <si>
    <t>C_y</t>
  </si>
  <si>
    <t>GRM1555C1H120JA01D</t>
  </si>
  <si>
    <t>Murata</t>
  </si>
  <si>
    <t>12 pF C0G crystal load</t>
  </si>
  <si>
    <t>0402</t>
  </si>
  <si>
    <t>PASS</t>
  </si>
  <si>
    <t>Tune to crystal CL.</t>
  </si>
  <si>
    <t>U2</t>
  </si>
  <si>
    <t>HD3SS3220RNHR</t>
  </si>
  <si>
    <t>UP0 CC + 10 Gbps 2:1 SS mux, PORT=UFP</t>
  </si>
  <si>
    <t>WQFN-30</t>
  </si>
  <si>
    <t>CC</t>
  </si>
  <si>
    <t>PORT to GND. VBUS_DET 900 kΩ to J1 VBUS.</t>
  </si>
  <si>
    <t>U3</t>
  </si>
  <si>
    <t>DS1 CC + SS mux, PORT=DFP</t>
  </si>
  <si>
    <t>PORT to 5 V. CURRENT_MODE to 5 V = 3 A advert. ID → U6 EN.</t>
  </si>
  <si>
    <t>U4</t>
  </si>
  <si>
    <t>DS2 CC + SS mux, PORT=DFP</t>
  </si>
  <si>
    <t>ID → U7 EN.</t>
  </si>
  <si>
    <t>U5</t>
  </si>
  <si>
    <t>DS3 CC + SS mux, PORT=DFP</t>
  </si>
  <si>
    <t>ID → U8 EN.</t>
  </si>
  <si>
    <t>U6</t>
  </si>
  <si>
    <t>TPS2553DBVR</t>
  </si>
  <si>
    <t>DS1 VBUS switch ~1.0 A</t>
  </si>
  <si>
    <t>SOT-23-6</t>
  </si>
  <si>
    <t>POWER</t>
  </si>
  <si>
    <t>FAULT# → OVERCUR1z.</t>
  </si>
  <si>
    <t>U7</t>
  </si>
  <si>
    <t>DS2 VBUS switch ~1.0 A</t>
  </si>
  <si>
    <t>FAULT# → OVERCUR2z.</t>
  </si>
  <si>
    <t>U8</t>
  </si>
  <si>
    <t>DS3 VBUS switch ~1.0 A</t>
  </si>
  <si>
    <t>FAULT# → OVERCUR3z.</t>
  </si>
  <si>
    <t>Rilim</t>
  </si>
  <si>
    <t>RC0402FR-0724K9L</t>
  </si>
  <si>
    <t>Yageo</t>
  </si>
  <si>
    <t>24.9 kΩ 1% TPS2553 ILIM</t>
  </si>
  <si>
    <t>≈ 1.0 A. Do not leave ILIM open.</t>
  </si>
  <si>
    <t>U31</t>
  </si>
  <si>
    <t>TLV75533PDBVR</t>
  </si>
  <si>
    <t>SYS_5V → 3.3 V LDO 500 mA, hand-solder</t>
  </si>
  <si>
    <t>SOT-23-5</t>
  </si>
  <si>
    <t>Same TLV755P as WSON. Gull-wing SOT-23-5. EN to SYS_5V. Quiet rail for VDD33 + four VCC33. Load ≤ 0.20 A.</t>
  </si>
  <si>
    <t>C31i</t>
  </si>
  <si>
    <t>GRM188R70J106ME47D</t>
  </si>
  <si>
    <t>10 µF 6.3 V LDO VIN</t>
  </si>
  <si>
    <t>0603</t>
  </si>
  <si>
    <t>C31o</t>
  </si>
  <si>
    <t>GRM188R70J226ME47D</t>
  </si>
  <si>
    <t>22 µF 6.3 V LDO VOUT</t>
  </si>
  <si>
    <t>U32</t>
  </si>
  <si>
    <t>TLV62569PDDCR</t>
  </si>
  <si>
    <t>SYS_5V → 1.1 V buck 2 A 1.5 MHz, hand-solder</t>
  </si>
  <si>
    <t>Replaces TPS62822 VSON. PG pin gates GRSTz. Vin abs-max 5.5 V — PESD5V0 required. η ~85–90 % at 5→1.1 V / 0.7 A. Keep-out island opposite Type-C / Y1. Size Iout 0.70 A.</t>
  </si>
  <si>
    <t>L32</t>
  </si>
  <si>
    <t>XFL4015-102MEB</t>
  </si>
  <si>
    <t>Coilcraft</t>
  </si>
  <si>
    <t>1.0 µH shielded Isat ~5 A (TLV62569 @ 1.5 MHz)</t>
  </si>
  <si>
    <t>4×4 mm</t>
  </si>
  <si>
    <t>Not 470 nH — that value was for 2.2 MHz TPS62822. Start winding on SW. SW copper pad-sized only.</t>
  </si>
  <si>
    <t>C32i</t>
  </si>
  <si>
    <t>10 µF 6.3 V buck VIN at VIN/PGND</t>
  </si>
  <si>
    <t>First part next to U32 VIN/GND. SOT-23 still wants Cin touching the pins.</t>
  </si>
  <si>
    <t>C32o</t>
  </si>
  <si>
    <t>10 µF 6.3 V buck VOUT</t>
  </si>
  <si>
    <t>R32t</t>
  </si>
  <si>
    <t>RC0402FR-07124KL</t>
  </si>
  <si>
    <t>124 kΩ 1% FB top → 1.096 V</t>
  </si>
  <si>
    <t>Vout=0.6×(1+R1/R2).</t>
  </si>
  <si>
    <t>R32b</t>
  </si>
  <si>
    <t>RC0402FR-07150KL</t>
  </si>
  <si>
    <t>150 kΩ 1% FB bottom to AGND</t>
  </si>
  <si>
    <t>Place at U32, not at the hub.</t>
  </si>
  <si>
    <t>FB32</t>
  </si>
  <si>
    <t>BLM18PG300SN1D</t>
  </si>
  <si>
    <t>Ferrite 30 Ω@100 MHz DCR~40 mΩ on 1.1 V</t>
  </si>
  <si>
    <t>DCR &lt; 50 mΩ. Do not use a high-DCR EMI bead.</t>
  </si>
  <si>
    <t>C32h</t>
  </si>
  <si>
    <t>GRM155R70J106ME15D</t>
  </si>
  <si>
    <t>10 µF after ferrite on hub VDD island</t>
  </si>
  <si>
    <t>Rpg</t>
  </si>
  <si>
    <t>RC0402FR-07100KL</t>
  </si>
  <si>
    <t>100 kΩ PG pull-up to 3.3 V</t>
  </si>
  <si>
    <t>PG pull-up to 3.3 V on TLV62569P pin. Do not float if you use PG→GRSTz.</t>
  </si>
  <si>
    <t>Cgrst</t>
  </si>
  <si>
    <t>GRM155R71C105KA12D</t>
  </si>
  <si>
    <t>1 µF GRSTz to GND</t>
  </si>
  <si>
    <t>Hold reset until 3.3 V and 1.1 V are up.</t>
  </si>
  <si>
    <t>Q1</t>
  </si>
  <si>
    <t>CSD17313Q2</t>
  </si>
  <si>
    <t>N-FET reverse-block SYS_5V</t>
  </si>
  <si>
    <t>SON-6</t>
  </si>
  <si>
    <t>Optional. Gate from UP0 VBUS detect.</t>
  </si>
  <si>
    <t>J1</t>
  </si>
  <si>
    <t>124019572112A</t>
  </si>
  <si>
    <t>Amphenol ICC</t>
  </si>
  <si>
    <t>INPUT Type-C 24p mid-mount 5 A</t>
  </si>
  <si>
    <t>Mid-mount</t>
  </si>
  <si>
    <t>CONN</t>
  </si>
  <si>
    <t>UP0. Parallel all VBUS and all GND pins.</t>
  </si>
  <si>
    <t>J2</t>
  </si>
  <si>
    <t>OUTPUT DS1 Type-C 24p mid-mount 5 A</t>
  </si>
  <si>
    <t>J3</t>
  </si>
  <si>
    <t>OUTPUT DS2 Type-C 24p mid-mount 5 A</t>
  </si>
  <si>
    <t>J4</t>
  </si>
  <si>
    <t>OUTPUT DS3 Type-C 24p mid-mount 5 A</t>
  </si>
  <si>
    <t>Uesd_ss</t>
  </si>
  <si>
    <t>TPD2EUSB30DRTR</t>
  </si>
  <si>
    <t>2-ch low-C SS ESD (2 per Type-C)</t>
  </si>
  <si>
    <t>SOT-5</t>
  </si>
  <si>
    <t>PROT</t>
  </si>
  <si>
    <t>&lt;1 mm from connector pads.</t>
  </si>
  <si>
    <t>Uesd_cc</t>
  </si>
  <si>
    <t>TPD4E05U06DQAR</t>
  </si>
  <si>
    <t>4-ch ESD D+/D−/CC1/CC2</t>
  </si>
  <si>
    <t>USON-10</t>
  </si>
  <si>
    <t>Dtv</t>
  </si>
  <si>
    <t>PESD5V0S1UL</t>
  </si>
  <si>
    <t>Nexperia</t>
  </si>
  <si>
    <t>5 V TVS on each Type-C VBUS + clamp for 5.5 V-max buck</t>
  </si>
  <si>
    <t>SOD-323</t>
  </si>
  <si>
    <t>Required. TPS62822 abs-max is 5.5 V.</t>
  </si>
  <si>
    <t>Cac</t>
  </si>
  <si>
    <t>GCM155R71C104KA55D</t>
  </si>
  <si>
    <t>100 nF 16 V SS TX AC-cap</t>
  </si>
  <si>
    <t>4 per port. Follow HD3SS3220 side-of-mux.</t>
  </si>
  <si>
    <t>R900k</t>
  </si>
  <si>
    <t>RC0402FR-07900KL</t>
  </si>
  <si>
    <t>900 kΩ VBUS_DET</t>
  </si>
  <si>
    <t>R200k</t>
  </si>
  <si>
    <t>RC0402FR-07200KL</t>
  </si>
  <si>
    <t>200 kΩ pull-up on DS ID</t>
  </si>
  <si>
    <t>Cblk5</t>
  </si>
  <si>
    <t>GRM21BR61A226ME51L</t>
  </si>
  <si>
    <t>22 µF 10 V on each Type-C VBUS</t>
  </si>
  <si>
    <t>0805</t>
  </si>
  <si>
    <t>Cbulk</t>
  </si>
  <si>
    <t>16SVP180MX</t>
  </si>
  <si>
    <t>Panasonic</t>
  </si>
  <si>
    <t>180 µF 16 V OS-CON SYS_5V</t>
  </si>
  <si>
    <t>8 mm</t>
  </si>
  <si>
    <t>USB hub bulk ≥120 µF.</t>
  </si>
  <si>
    <t>C10u</t>
  </si>
  <si>
    <t>10 µF 6.3 V local decouple</t>
  </si>
  <si>
    <t>Under every QFN. Extra to island ceramics.</t>
  </si>
  <si>
    <t>C100n</t>
  </si>
  <si>
    <t>GRM155R71C104KA88D</t>
  </si>
  <si>
    <t>100 nF 16 V per power pin</t>
  </si>
  <si>
    <t>PCB</t>
  </si>
  <si>
    <t>JLC04161H-7628 ENIG + stencil</t>
  </si>
  <si>
    <t>JLCPCB</t>
  </si>
  <si>
    <t>4-layer 1.6 mm, 90 Ω coupon, ~80×50 mm</t>
  </si>
  <si>
    <t>4-layer</t>
  </si>
  <si>
    <t>MECH</t>
  </si>
  <si>
    <t>Sig-GND-PWR-Sig. Buck island opposite Type-C edge.</t>
  </si>
  <si>
    <t>MH</t>
  </si>
  <si>
    <t>R30-1000402</t>
  </si>
  <si>
    <t>Harwin</t>
  </si>
  <si>
    <t>M3 standoff + screw</t>
  </si>
  <si>
    <t>M3</t>
  </si>
  <si>
    <t>BOARD TOTAL</t>
  </si>
  <si>
    <t>By category</t>
  </si>
  <si>
    <t>Category</t>
  </si>
  <si>
    <t>Share</t>
  </si>
  <si>
    <t>Case C buy list — one row per MPN</t>
  </si>
  <si>
    <t>Total qty</t>
  </si>
  <si>
    <t>Used on</t>
  </si>
  <si>
    <t>U2, U3, U4, U5</t>
  </si>
  <si>
    <t>U6, U7, U8</t>
  </si>
  <si>
    <t>C31i, C32i, C32o</t>
  </si>
  <si>
    <t>C32h, C10u</t>
  </si>
  <si>
    <t>J1, J2, J3, J4</t>
  </si>
  <si>
    <t>BUY TOTAL</t>
  </si>
  <si>
    <t>Must match BOM board total</t>
  </si>
  <si>
    <t>Case C locked spec</t>
  </si>
  <si>
    <t>Value</t>
  </si>
  <si>
    <t>Ports</t>
  </si>
  <si>
    <t>J1 Type-C UFP input + J2 J3 J4 Type-C DFP output. No barrel. No MCU.</t>
  </si>
  <si>
    <t>Data</t>
  </si>
  <si>
    <t>USB 3.2 Gen1 5 Gbps via TUSB8041A + 4× HD3SS3220</t>
  </si>
  <si>
    <t>Power in</t>
  </si>
  <si>
    <t>Host J1 VBUS 5 V only (7.5–15 W typical)</t>
  </si>
  <si>
    <t>Power out each DS</t>
  </si>
  <si>
    <t>5 V, TPS2553 ILIM ≈ 1.0 A. Three ports share leftover host watts.</t>
  </si>
  <si>
    <t>3.3 V</t>
  </si>
  <si>
    <t>TLV75533PDBVR LDO SOT-23-5, load ≤ 0.20 A</t>
  </si>
  <si>
    <t>1.1 V</t>
  </si>
  <si>
    <t>TLV62569PDDCR buck SOT-23-6, size 0.70 A (563 mA typ 3× SS U0)</t>
  </si>
  <si>
    <t>Heat converters</t>
  </si>
  <si>
    <t>~0.45–0.50 W worst case (LDO 0.34 W + buck ~0.12 W)</t>
  </si>
  <si>
    <t>Layout</t>
  </si>
  <si>
    <t>L32 1 µH + U32 opposite Type-C edge. Not under SS pairs or Y1.</t>
  </si>
  <si>
    <t>Hand solder</t>
  </si>
  <si>
    <t>Both converters are SOT-23 gull-wing. Iron + flux. No hot-bar required.</t>
  </si>
  <si>
    <t>Was / now</t>
  </si>
  <si>
    <t>Was WSON TLV75533PDRVR + VSON TPS62822 + 470 nH. Now SOT-23 + 1 µH.</t>
  </si>
  <si>
    <t>TPS2553DBVR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</si>
</sst>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$#,##0.00"/>
    <numFmt numFmtId="177" formatCode="0.0%"/>
  </numFmts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i/>
      <sz val="10"/>
      <color rgb="FFFFFFFF"/>
      <name val="Calibri"/>
      <charset val="1"/>
    </font>
    <font>
      <b/>
      <sz val="10"/>
      <color rgb="FFFFFFFF"/>
      <name val="Calibri"/>
      <charset val="1"/>
    </font>
    <font>
      <sz val="10"/>
      <color rgb="FF1A1A1A"/>
      <name val="Calibri"/>
      <charset val="1"/>
    </font>
    <font>
      <sz val="10"/>
      <color rgb="FF0000FF"/>
      <name val="Calibri"/>
      <charset val="1"/>
    </font>
    <font>
      <b/>
      <sz val="10"/>
      <color rgb="FF1B365D"/>
      <name val="Calibri"/>
      <charset val="1"/>
    </font>
    <font>
      <b/>
      <sz val="12"/>
      <color rgb="FFFFFFFF"/>
      <name val="Calibri"/>
      <charset val="1"/>
    </font>
    <font>
      <b/>
      <sz val="13"/>
      <color rgb="FF1B365D"/>
      <name val="Calibri"/>
      <charset val="1"/>
    </font>
    <font>
      <i/>
      <sz val="9"/>
      <name val="Calibri"/>
      <charset val="1"/>
    </font>
    <font>
      <sz val="9"/>
      <name val="細明體"/>
      <family val="3"/>
      <charset val="136"/>
    </font>
    <font>
      <b/>
      <sz val="10"/>
      <color rgb="FF1B365D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B365D"/>
        <bgColor rgb="FF243E73"/>
      </patternFill>
    </fill>
    <fill>
      <patternFill patternType="solid">
        <fgColor rgb="FF243E73"/>
        <bgColor rgb="FF1B365D"/>
      </patternFill>
    </fill>
    <fill>
      <patternFill patternType="solid">
        <fgColor rgb="FFD6E4F0"/>
        <bgColor rgb="FFE4E4E4"/>
      </patternFill>
    </fill>
    <fill>
      <patternFill patternType="solid">
        <fgColor rgb="FFFFF3CD"/>
        <bgColor rgb="FFF8E6D3"/>
      </patternFill>
    </fill>
    <fill>
      <patternFill patternType="solid">
        <fgColor rgb="FFEEEFE8"/>
        <bgColor rgb="FFE5F4EA"/>
      </patternFill>
    </fill>
    <fill>
      <patternFill patternType="solid">
        <fgColor rgb="FFDCEFE8"/>
        <bgColor rgb="FFE5F4EA"/>
      </patternFill>
    </fill>
    <fill>
      <patternFill patternType="solid">
        <fgColor rgb="FFF8E6D3"/>
        <bgColor rgb="FFFFF3CD"/>
      </patternFill>
    </fill>
    <fill>
      <patternFill patternType="solid">
        <fgColor rgb="FFE8E0F0"/>
        <bgColor rgb="FFE4E4E4"/>
      </patternFill>
    </fill>
    <fill>
      <patternFill patternType="solid">
        <fgColor rgb="FFF3D6D6"/>
        <bgColor rgb="FFF8E6D3"/>
      </patternFill>
    </fill>
    <fill>
      <patternFill patternType="solid">
        <fgColor rgb="FFE4E4E4"/>
        <bgColor rgb="FFE8E0F0"/>
      </patternFill>
    </fill>
    <fill>
      <patternFill patternType="solid">
        <fgColor rgb="FF0D7377"/>
        <bgColor rgb="FF008080"/>
      </patternFill>
    </fill>
    <fill>
      <patternFill patternType="solid">
        <fgColor rgb="FFE5F4EA"/>
        <bgColor rgb="FFDCEFE8"/>
      </patternFill>
    </fill>
  </fills>
  <borders count="2">
    <border>
      <left/>
      <right/>
      <top/>
      <bottom/>
      <diagonal/>
    </border>
    <border>
      <left style="thin">
        <color rgb="FFC5CAD3"/>
      </left>
      <right style="thin">
        <color rgb="FFC5CAD3"/>
      </right>
      <top style="thin">
        <color rgb="FFC5CAD3"/>
      </top>
      <bottom style="thin">
        <color rgb="FFC5CAD3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3" borderId="0" xfId="0" applyFont="1" applyFill="1" applyAlignment="1">
      <alignment vertical="center" wrapText="1"/>
    </xf>
    <xf numFmtId="0" fontId="1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176" fontId="5" fillId="5" borderId="1" xfId="0" applyNumberFormat="1" applyFont="1" applyFill="1" applyBorder="1" applyAlignment="1">
      <alignment vertical="center" wrapText="1"/>
    </xf>
    <xf numFmtId="176" fontId="4" fillId="4" borderId="1" xfId="0" applyNumberFormat="1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176" fontId="4" fillId="6" borderId="1" xfId="0" applyNumberFormat="1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176" fontId="4" fillId="7" borderId="1" xfId="0" applyNumberFormat="1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176" fontId="4" fillId="8" borderId="1" xfId="0" applyNumberFormat="1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176" fontId="4" fillId="9" borderId="1" xfId="0" applyNumberFormat="1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176" fontId="4" fillId="10" borderId="1" xfId="0" applyNumberFormat="1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vertical="center" wrapText="1"/>
    </xf>
    <xf numFmtId="176" fontId="4" fillId="11" borderId="1" xfId="0" applyNumberFormat="1" applyFont="1" applyFill="1" applyBorder="1" applyAlignment="1">
      <alignment vertical="center" wrapText="1"/>
    </xf>
    <xf numFmtId="0" fontId="3" fillId="2" borderId="0" xfId="0" applyFont="1" applyFill="1"/>
    <xf numFmtId="0" fontId="0" fillId="2" borderId="0" xfId="0" applyFill="1"/>
    <xf numFmtId="176" fontId="7" fillId="2" borderId="0" xfId="0" applyNumberFormat="1" applyFont="1" applyFill="1"/>
    <xf numFmtId="0" fontId="8" fillId="0" borderId="0" xfId="0" applyFont="1"/>
    <xf numFmtId="0" fontId="3" fillId="12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176" fontId="4" fillId="4" borderId="1" xfId="0" applyNumberFormat="1" applyFont="1" applyFill="1" applyBorder="1"/>
    <xf numFmtId="177" fontId="4" fillId="4" borderId="1" xfId="0" applyNumberFormat="1" applyFont="1" applyFill="1" applyBorder="1"/>
    <xf numFmtId="0" fontId="4" fillId="7" borderId="1" xfId="0" applyFont="1" applyFill="1" applyBorder="1"/>
    <xf numFmtId="176" fontId="4" fillId="7" borderId="1" xfId="0" applyNumberFormat="1" applyFont="1" applyFill="1" applyBorder="1"/>
    <xf numFmtId="177" fontId="4" fillId="7" borderId="1" xfId="0" applyNumberFormat="1" applyFont="1" applyFill="1" applyBorder="1"/>
    <xf numFmtId="0" fontId="4" fillId="8" borderId="1" xfId="0" applyFont="1" applyFill="1" applyBorder="1"/>
    <xf numFmtId="176" fontId="4" fillId="8" borderId="1" xfId="0" applyNumberFormat="1" applyFont="1" applyFill="1" applyBorder="1"/>
    <xf numFmtId="177" fontId="4" fillId="8" borderId="1" xfId="0" applyNumberFormat="1" applyFont="1" applyFill="1" applyBorder="1"/>
    <xf numFmtId="0" fontId="4" fillId="10" borderId="1" xfId="0" applyFont="1" applyFill="1" applyBorder="1"/>
    <xf numFmtId="176" fontId="4" fillId="10" borderId="1" xfId="0" applyNumberFormat="1" applyFont="1" applyFill="1" applyBorder="1"/>
    <xf numFmtId="177" fontId="4" fillId="10" borderId="1" xfId="0" applyNumberFormat="1" applyFont="1" applyFill="1" applyBorder="1"/>
    <xf numFmtId="0" fontId="4" fillId="9" borderId="1" xfId="0" applyFont="1" applyFill="1" applyBorder="1"/>
    <xf numFmtId="176" fontId="4" fillId="9" borderId="1" xfId="0" applyNumberFormat="1" applyFont="1" applyFill="1" applyBorder="1"/>
    <xf numFmtId="177" fontId="4" fillId="9" borderId="1" xfId="0" applyNumberFormat="1" applyFont="1" applyFill="1" applyBorder="1"/>
    <xf numFmtId="0" fontId="4" fillId="6" borderId="1" xfId="0" applyFont="1" applyFill="1" applyBorder="1"/>
    <xf numFmtId="176" fontId="4" fillId="6" borderId="1" xfId="0" applyNumberFormat="1" applyFont="1" applyFill="1" applyBorder="1"/>
    <xf numFmtId="177" fontId="4" fillId="6" borderId="1" xfId="0" applyNumberFormat="1" applyFont="1" applyFill="1" applyBorder="1"/>
    <xf numFmtId="0" fontId="4" fillId="11" borderId="1" xfId="0" applyFont="1" applyFill="1" applyBorder="1"/>
    <xf numFmtId="176" fontId="4" fillId="11" borderId="1" xfId="0" applyNumberFormat="1" applyFont="1" applyFill="1" applyBorder="1"/>
    <xf numFmtId="177" fontId="4" fillId="11" borderId="1" xfId="0" applyNumberFormat="1" applyFont="1" applyFill="1" applyBorder="1"/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9" fillId="0" borderId="0" xfId="0" applyFont="1"/>
    <xf numFmtId="176" fontId="0" fillId="13" borderId="0" xfId="0" applyNumberFormat="1" applyFill="1"/>
    <xf numFmtId="0" fontId="3" fillId="12" borderId="0" xfId="0" applyFont="1" applyFill="1"/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1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C5CAD3"/>
      <rgbColor rgb="FF4F81BD"/>
      <rgbColor rgb="FF93A9CE"/>
      <rgbColor rgb="FFAB4744"/>
      <rgbColor rgb="FFFFF3CD"/>
      <rgbColor rgb="FFDCEFE8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F4EA"/>
      <rgbColor rgb="FFEEEFE8"/>
      <rgbColor rgb="FFF8E6D3"/>
      <rgbColor rgb="FFD6E4F0"/>
      <rgbColor rgb="FFE4E4E4"/>
      <rgbColor rgb="FFE8E0F0"/>
      <rgbColor rgb="FFF3D6D6"/>
      <rgbColor rgb="FF4672A8"/>
      <rgbColor rgb="FF33CCCC"/>
      <rgbColor rgb="FF99CC00"/>
      <rgbColor rgb="FFFFCC00"/>
      <rgbColor rgb="FFFF9900"/>
      <rgbColor rgb="FFFF6600"/>
      <rgbColor rgb="FF725990"/>
      <rgbColor rgb="FF8AA64F"/>
      <rgbColor rgb="FF1B365D"/>
      <rgbColor rgb="FF4299B0"/>
      <rgbColor rgb="FF003300"/>
      <rgbColor rgb="FF333300"/>
      <rgbColor rgb="FF993300"/>
      <rgbColor rgb="FF993366"/>
      <rgbColor rgb="FF243E73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Case C $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BOM!$B$49</c:f>
              <c:strCache>
                <c:ptCount val="1"/>
                <c:pt idx="0">
                  <c:v>Ext USD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2EA-40DC-9157-BE8458107E34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2EA-40DC-9157-BE8458107E34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2EA-40DC-9157-BE8458107E34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2EA-40DC-9157-BE8458107E34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32EA-40DC-9157-BE8458107E34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32EA-40DC-9157-BE8458107E34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32EA-40DC-9157-BE8458107E3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zh-HK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32EA-40DC-9157-BE8458107E3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zh-HK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32EA-40DC-9157-BE8458107E3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zh-HK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32EA-40DC-9157-BE8458107E3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zh-HK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32EA-40DC-9157-BE8458107E3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zh-HK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32EA-40DC-9157-BE8458107E34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zh-HK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32EA-40DC-9157-BE8458107E34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zh-HK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32EA-40DC-9157-BE8458107E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HK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BOM!$A$50:$A$56</c:f>
              <c:strCache>
                <c:ptCount val="7"/>
                <c:pt idx="0">
                  <c:v>DATA</c:v>
                </c:pt>
                <c:pt idx="1">
                  <c:v>CC</c:v>
                </c:pt>
                <c:pt idx="2">
                  <c:v>POWER</c:v>
                </c:pt>
                <c:pt idx="3">
                  <c:v>PROT</c:v>
                </c:pt>
                <c:pt idx="4">
                  <c:v>CONN</c:v>
                </c:pt>
                <c:pt idx="5">
                  <c:v>PASS</c:v>
                </c:pt>
                <c:pt idx="6">
                  <c:v>MECH</c:v>
                </c:pt>
              </c:strCache>
            </c:strRef>
          </c:cat>
          <c:val>
            <c:numRef>
              <c:f>BOM!$B$50:$B$56</c:f>
              <c:numCache>
                <c:formatCode>\$#,##0.00</c:formatCode>
                <c:ptCount val="7"/>
                <c:pt idx="0">
                  <c:v>5.95</c:v>
                </c:pt>
                <c:pt idx="1">
                  <c:v>7.4</c:v>
                </c:pt>
                <c:pt idx="2">
                  <c:v>5.13</c:v>
                </c:pt>
                <c:pt idx="3">
                  <c:v>5.2</c:v>
                </c:pt>
                <c:pt idx="4">
                  <c:v>9.08</c:v>
                </c:pt>
                <c:pt idx="5">
                  <c:v>3.85</c:v>
                </c:pt>
                <c:pt idx="6">
                  <c:v>19.600000000000001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2EA-40DC-9157-BE8458107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zh-HK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47</xdr:row>
      <xdr:rowOff>0</xdr:rowOff>
    </xdr:from>
    <xdr:to>
      <xdr:col>5</xdr:col>
      <xdr:colOff>2909520</xdr:colOff>
      <xdr:row>61</xdr:row>
      <xdr:rowOff>85320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6"/>
  <sheetViews>
    <sheetView tabSelected="1" zoomScaleNormal="100" workbookViewId="0">
      <pane ySplit="4" topLeftCell="A5" activePane="bottomLeft" state="frozen"/>
      <selection pane="bottomLeft" activeCell="D16" sqref="D16"/>
    </sheetView>
  </sheetViews>
  <sheetFormatPr defaultColWidth="8.7109375" defaultRowHeight="15" x14ac:dyDescent="0.25"/>
  <cols>
    <col min="1" max="2" width="6" customWidth="1"/>
    <col min="3" max="3" width="12" customWidth="1"/>
    <col min="4" max="4" width="28" customWidth="1"/>
    <col min="5" max="5" width="20" customWidth="1"/>
    <col min="6" max="6" width="52" customWidth="1"/>
    <col min="7" max="7" width="14" customWidth="1"/>
    <col min="8" max="8" width="10" customWidth="1"/>
    <col min="9" max="10" width="12" customWidth="1"/>
    <col min="11" max="11" width="8" customWidth="1"/>
    <col min="12" max="12" width="55" customWidth="1"/>
  </cols>
  <sheetData>
    <row r="1" spans="1:12" ht="25.5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7.7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5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 ht="25.5" customHeight="1" x14ac:dyDescent="0.25">
      <c r="A5" s="4">
        <v>1</v>
      </c>
      <c r="B5" s="5">
        <v>1</v>
      </c>
      <c r="C5" s="4" t="s">
        <v>14</v>
      </c>
      <c r="D5" s="6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7">
        <v>5.4</v>
      </c>
      <c r="J5" s="8">
        <f t="shared" ref="J5:J45" si="0">B5*I5</f>
        <v>5.4</v>
      </c>
      <c r="K5" s="4"/>
      <c r="L5" s="4" t="s">
        <v>20</v>
      </c>
    </row>
    <row r="6" spans="1:12" ht="25.5" customHeight="1" x14ac:dyDescent="0.25">
      <c r="A6" s="4">
        <v>2</v>
      </c>
      <c r="B6" s="5">
        <v>1</v>
      </c>
      <c r="C6" s="4" t="s">
        <v>21</v>
      </c>
      <c r="D6" s="6" t="s">
        <v>22</v>
      </c>
      <c r="E6" s="4" t="s">
        <v>23</v>
      </c>
      <c r="F6" s="4" t="s">
        <v>24</v>
      </c>
      <c r="G6" s="4" t="s">
        <v>25</v>
      </c>
      <c r="H6" s="4" t="s">
        <v>19</v>
      </c>
      <c r="I6" s="7">
        <v>0.55000000000000004</v>
      </c>
      <c r="J6" s="8">
        <f t="shared" si="0"/>
        <v>0.55000000000000004</v>
      </c>
      <c r="K6" s="4"/>
      <c r="L6" s="4" t="s">
        <v>26</v>
      </c>
    </row>
    <row r="7" spans="1:12" ht="25.5" customHeight="1" x14ac:dyDescent="0.25">
      <c r="A7" s="9">
        <v>3</v>
      </c>
      <c r="B7" s="5">
        <v>2</v>
      </c>
      <c r="C7" s="9" t="s">
        <v>27</v>
      </c>
      <c r="D7" s="10" t="s">
        <v>28</v>
      </c>
      <c r="E7" s="9" t="s">
        <v>29</v>
      </c>
      <c r="F7" s="9" t="s">
        <v>30</v>
      </c>
      <c r="G7" s="9" t="s">
        <v>31</v>
      </c>
      <c r="H7" s="9" t="s">
        <v>32</v>
      </c>
      <c r="I7" s="7">
        <v>0.03</v>
      </c>
      <c r="J7" s="11">
        <f t="shared" si="0"/>
        <v>0.06</v>
      </c>
      <c r="K7" s="9"/>
      <c r="L7" s="9" t="s">
        <v>33</v>
      </c>
    </row>
    <row r="8" spans="1:12" ht="25.5" customHeight="1" x14ac:dyDescent="0.25">
      <c r="A8" s="12">
        <v>4</v>
      </c>
      <c r="B8" s="5">
        <v>1</v>
      </c>
      <c r="C8" s="12" t="s">
        <v>34</v>
      </c>
      <c r="D8" s="13" t="s">
        <v>35</v>
      </c>
      <c r="E8" s="12" t="s">
        <v>16</v>
      </c>
      <c r="F8" s="12" t="s">
        <v>36</v>
      </c>
      <c r="G8" s="12" t="s">
        <v>37</v>
      </c>
      <c r="H8" s="12" t="s">
        <v>38</v>
      </c>
      <c r="I8" s="7">
        <v>1.85</v>
      </c>
      <c r="J8" s="14">
        <f t="shared" si="0"/>
        <v>1.85</v>
      </c>
      <c r="K8" s="12"/>
      <c r="L8" s="12" t="s">
        <v>39</v>
      </c>
    </row>
    <row r="9" spans="1:12" ht="25.5" customHeight="1" x14ac:dyDescent="0.25">
      <c r="A9" s="12">
        <v>5</v>
      </c>
      <c r="B9" s="5">
        <v>1</v>
      </c>
      <c r="C9" s="12" t="s">
        <v>40</v>
      </c>
      <c r="D9" s="13" t="s">
        <v>35</v>
      </c>
      <c r="E9" s="12" t="s">
        <v>16</v>
      </c>
      <c r="F9" s="12" t="s">
        <v>41</v>
      </c>
      <c r="G9" s="12" t="s">
        <v>37</v>
      </c>
      <c r="H9" s="12" t="s">
        <v>38</v>
      </c>
      <c r="I9" s="7">
        <v>1.85</v>
      </c>
      <c r="J9" s="14">
        <f t="shared" si="0"/>
        <v>1.85</v>
      </c>
      <c r="K9" s="12"/>
      <c r="L9" s="12" t="s">
        <v>42</v>
      </c>
    </row>
    <row r="10" spans="1:12" ht="25.5" customHeight="1" x14ac:dyDescent="0.25">
      <c r="A10" s="12">
        <v>6</v>
      </c>
      <c r="B10" s="5">
        <v>1</v>
      </c>
      <c r="C10" s="12" t="s">
        <v>43</v>
      </c>
      <c r="D10" s="13" t="s">
        <v>35</v>
      </c>
      <c r="E10" s="12" t="s">
        <v>16</v>
      </c>
      <c r="F10" s="12" t="s">
        <v>44</v>
      </c>
      <c r="G10" s="12" t="s">
        <v>37</v>
      </c>
      <c r="H10" s="12" t="s">
        <v>38</v>
      </c>
      <c r="I10" s="7">
        <v>1.85</v>
      </c>
      <c r="J10" s="14">
        <f t="shared" si="0"/>
        <v>1.85</v>
      </c>
      <c r="K10" s="12"/>
      <c r="L10" s="12" t="s">
        <v>45</v>
      </c>
    </row>
    <row r="11" spans="1:12" ht="25.5" customHeight="1" x14ac:dyDescent="0.25">
      <c r="A11" s="12">
        <v>7</v>
      </c>
      <c r="B11" s="5">
        <v>1</v>
      </c>
      <c r="C11" s="12" t="s">
        <v>46</v>
      </c>
      <c r="D11" s="13" t="s">
        <v>35</v>
      </c>
      <c r="E11" s="12" t="s">
        <v>16</v>
      </c>
      <c r="F11" s="12" t="s">
        <v>47</v>
      </c>
      <c r="G11" s="12" t="s">
        <v>37</v>
      </c>
      <c r="H11" s="12" t="s">
        <v>38</v>
      </c>
      <c r="I11" s="7">
        <v>1.85</v>
      </c>
      <c r="J11" s="14">
        <f t="shared" si="0"/>
        <v>1.85</v>
      </c>
      <c r="K11" s="12"/>
      <c r="L11" s="12" t="s">
        <v>48</v>
      </c>
    </row>
    <row r="12" spans="1:12" ht="25.5" customHeight="1" x14ac:dyDescent="0.25">
      <c r="A12" s="15">
        <v>8</v>
      </c>
      <c r="B12" s="5">
        <v>1</v>
      </c>
      <c r="C12" s="15" t="s">
        <v>49</v>
      </c>
      <c r="D12" s="62" t="s">
        <v>224</v>
      </c>
      <c r="E12" s="15" t="s">
        <v>16</v>
      </c>
      <c r="F12" s="15" t="s">
        <v>51</v>
      </c>
      <c r="G12" s="15" t="s">
        <v>52</v>
      </c>
      <c r="H12" s="15" t="s">
        <v>53</v>
      </c>
      <c r="I12" s="7">
        <v>0.85</v>
      </c>
      <c r="J12" s="17">
        <f t="shared" si="0"/>
        <v>0.85</v>
      </c>
      <c r="K12" s="15"/>
      <c r="L12" s="15" t="s">
        <v>54</v>
      </c>
    </row>
    <row r="13" spans="1:12" ht="25.5" customHeight="1" x14ac:dyDescent="0.25">
      <c r="A13" s="15">
        <v>9</v>
      </c>
      <c r="B13" s="5">
        <v>1</v>
      </c>
      <c r="C13" s="15" t="s">
        <v>55</v>
      </c>
      <c r="D13" s="16" t="s">
        <v>50</v>
      </c>
      <c r="E13" s="15" t="s">
        <v>16</v>
      </c>
      <c r="F13" s="15" t="s">
        <v>56</v>
      </c>
      <c r="G13" s="15" t="s">
        <v>52</v>
      </c>
      <c r="H13" s="15" t="s">
        <v>53</v>
      </c>
      <c r="I13" s="7">
        <v>0.85</v>
      </c>
      <c r="J13" s="17">
        <f t="shared" si="0"/>
        <v>0.85</v>
      </c>
      <c r="K13" s="15"/>
      <c r="L13" s="15" t="s">
        <v>57</v>
      </c>
    </row>
    <row r="14" spans="1:12" ht="25.5" customHeight="1" x14ac:dyDescent="0.25">
      <c r="A14" s="15">
        <v>10</v>
      </c>
      <c r="B14" s="5">
        <v>1</v>
      </c>
      <c r="C14" s="15" t="s">
        <v>58</v>
      </c>
      <c r="D14" s="16" t="s">
        <v>50</v>
      </c>
      <c r="E14" s="15" t="s">
        <v>16</v>
      </c>
      <c r="F14" s="15" t="s">
        <v>59</v>
      </c>
      <c r="G14" s="15" t="s">
        <v>52</v>
      </c>
      <c r="H14" s="15" t="s">
        <v>53</v>
      </c>
      <c r="I14" s="7">
        <v>0.85</v>
      </c>
      <c r="J14" s="17">
        <f t="shared" si="0"/>
        <v>0.85</v>
      </c>
      <c r="K14" s="15"/>
      <c r="L14" s="15" t="s">
        <v>60</v>
      </c>
    </row>
    <row r="15" spans="1:12" ht="25.5" customHeight="1" x14ac:dyDescent="0.25">
      <c r="A15" s="9">
        <v>11</v>
      </c>
      <c r="B15" s="5">
        <v>3</v>
      </c>
      <c r="C15" s="9" t="s">
        <v>61</v>
      </c>
      <c r="D15" s="10" t="s">
        <v>62</v>
      </c>
      <c r="E15" s="9" t="s">
        <v>63</v>
      </c>
      <c r="F15" s="9" t="s">
        <v>64</v>
      </c>
      <c r="G15" s="9" t="s">
        <v>31</v>
      </c>
      <c r="H15" s="9" t="s">
        <v>32</v>
      </c>
      <c r="I15" s="7">
        <v>0.03</v>
      </c>
      <c r="J15" s="11">
        <f t="shared" si="0"/>
        <v>0.09</v>
      </c>
      <c r="K15" s="9"/>
      <c r="L15" s="9" t="s">
        <v>65</v>
      </c>
    </row>
    <row r="16" spans="1:12" ht="25.5" customHeight="1" x14ac:dyDescent="0.25">
      <c r="A16" s="15">
        <v>12</v>
      </c>
      <c r="B16" s="5">
        <v>1</v>
      </c>
      <c r="C16" s="15" t="s">
        <v>66</v>
      </c>
      <c r="D16" s="16" t="s">
        <v>67</v>
      </c>
      <c r="E16" s="15" t="s">
        <v>16</v>
      </c>
      <c r="F16" s="15" t="s">
        <v>68</v>
      </c>
      <c r="G16" s="15" t="s">
        <v>69</v>
      </c>
      <c r="H16" s="15" t="s">
        <v>53</v>
      </c>
      <c r="I16" s="7">
        <v>0.36</v>
      </c>
      <c r="J16" s="17">
        <f t="shared" si="0"/>
        <v>0.36</v>
      </c>
      <c r="K16" s="15"/>
      <c r="L16" s="15" t="s">
        <v>70</v>
      </c>
    </row>
    <row r="17" spans="1:12" ht="25.5" customHeight="1" x14ac:dyDescent="0.25">
      <c r="A17" s="9">
        <v>13</v>
      </c>
      <c r="B17" s="5">
        <v>1</v>
      </c>
      <c r="C17" s="9" t="s">
        <v>71</v>
      </c>
      <c r="D17" s="10" t="s">
        <v>72</v>
      </c>
      <c r="E17" s="9" t="s">
        <v>29</v>
      </c>
      <c r="F17" s="9" t="s">
        <v>73</v>
      </c>
      <c r="G17" s="9" t="s">
        <v>74</v>
      </c>
      <c r="H17" s="9" t="s">
        <v>32</v>
      </c>
      <c r="I17" s="7">
        <v>0.08</v>
      </c>
      <c r="J17" s="11">
        <f t="shared" si="0"/>
        <v>0.08</v>
      </c>
      <c r="K17" s="9"/>
      <c r="L17" s="9"/>
    </row>
    <row r="18" spans="1:12" ht="25.5" customHeight="1" x14ac:dyDescent="0.25">
      <c r="A18" s="9">
        <v>14</v>
      </c>
      <c r="B18" s="5">
        <v>1</v>
      </c>
      <c r="C18" s="9" t="s">
        <v>75</v>
      </c>
      <c r="D18" s="10" t="s">
        <v>76</v>
      </c>
      <c r="E18" s="9" t="s">
        <v>29</v>
      </c>
      <c r="F18" s="9" t="s">
        <v>77</v>
      </c>
      <c r="G18" s="9" t="s">
        <v>74</v>
      </c>
      <c r="H18" s="9" t="s">
        <v>32</v>
      </c>
      <c r="I18" s="7">
        <v>0.12</v>
      </c>
      <c r="J18" s="11">
        <f t="shared" si="0"/>
        <v>0.12</v>
      </c>
      <c r="K18" s="9"/>
      <c r="L18" s="9"/>
    </row>
    <row r="19" spans="1:12" ht="25.5" customHeight="1" x14ac:dyDescent="0.25">
      <c r="A19" s="15">
        <v>15</v>
      </c>
      <c r="B19" s="5">
        <v>1</v>
      </c>
      <c r="C19" s="15" t="s">
        <v>78</v>
      </c>
      <c r="D19" s="16" t="s">
        <v>79</v>
      </c>
      <c r="E19" s="15" t="s">
        <v>16</v>
      </c>
      <c r="F19" s="15" t="s">
        <v>80</v>
      </c>
      <c r="G19" s="15" t="s">
        <v>52</v>
      </c>
      <c r="H19" s="15" t="s">
        <v>53</v>
      </c>
      <c r="I19" s="7">
        <v>0.62</v>
      </c>
      <c r="J19" s="17">
        <f t="shared" si="0"/>
        <v>0.62</v>
      </c>
      <c r="K19" s="15"/>
      <c r="L19" s="15" t="s">
        <v>81</v>
      </c>
    </row>
    <row r="20" spans="1:12" ht="25.5" customHeight="1" x14ac:dyDescent="0.25">
      <c r="A20" s="15">
        <v>16</v>
      </c>
      <c r="B20" s="5">
        <v>1</v>
      </c>
      <c r="C20" s="15" t="s">
        <v>82</v>
      </c>
      <c r="D20" s="16" t="s">
        <v>83</v>
      </c>
      <c r="E20" s="15" t="s">
        <v>84</v>
      </c>
      <c r="F20" s="15" t="s">
        <v>85</v>
      </c>
      <c r="G20" s="15" t="s">
        <v>86</v>
      </c>
      <c r="H20" s="15" t="s">
        <v>53</v>
      </c>
      <c r="I20" s="7">
        <v>1.1499999999999999</v>
      </c>
      <c r="J20" s="17">
        <f t="shared" si="0"/>
        <v>1.1499999999999999</v>
      </c>
      <c r="K20" s="15"/>
      <c r="L20" s="15" t="s">
        <v>87</v>
      </c>
    </row>
    <row r="21" spans="1:12" ht="25.5" customHeight="1" x14ac:dyDescent="0.25">
      <c r="A21" s="9">
        <v>17</v>
      </c>
      <c r="B21" s="5">
        <v>1</v>
      </c>
      <c r="C21" s="9" t="s">
        <v>88</v>
      </c>
      <c r="D21" s="10" t="s">
        <v>72</v>
      </c>
      <c r="E21" s="9" t="s">
        <v>29</v>
      </c>
      <c r="F21" s="9" t="s">
        <v>89</v>
      </c>
      <c r="G21" s="9" t="s">
        <v>74</v>
      </c>
      <c r="H21" s="9" t="s">
        <v>32</v>
      </c>
      <c r="I21" s="7">
        <v>0.08</v>
      </c>
      <c r="J21" s="11">
        <f t="shared" si="0"/>
        <v>0.08</v>
      </c>
      <c r="K21" s="9"/>
      <c r="L21" s="9" t="s">
        <v>90</v>
      </c>
    </row>
    <row r="22" spans="1:12" ht="25.5" customHeight="1" x14ac:dyDescent="0.25">
      <c r="A22" s="9">
        <v>18</v>
      </c>
      <c r="B22" s="5">
        <v>2</v>
      </c>
      <c r="C22" s="9" t="s">
        <v>91</v>
      </c>
      <c r="D22" s="10" t="s">
        <v>72</v>
      </c>
      <c r="E22" s="9" t="s">
        <v>29</v>
      </c>
      <c r="F22" s="9" t="s">
        <v>92</v>
      </c>
      <c r="G22" s="9" t="s">
        <v>74</v>
      </c>
      <c r="H22" s="9" t="s">
        <v>32</v>
      </c>
      <c r="I22" s="7">
        <v>0.08</v>
      </c>
      <c r="J22" s="11">
        <f t="shared" si="0"/>
        <v>0.16</v>
      </c>
      <c r="K22" s="9"/>
      <c r="L22" s="9"/>
    </row>
    <row r="23" spans="1:12" ht="25.5" customHeight="1" x14ac:dyDescent="0.25">
      <c r="A23" s="9">
        <v>19</v>
      </c>
      <c r="B23" s="5">
        <v>1</v>
      </c>
      <c r="C23" s="9" t="s">
        <v>93</v>
      </c>
      <c r="D23" s="10" t="s">
        <v>94</v>
      </c>
      <c r="E23" s="9" t="s">
        <v>63</v>
      </c>
      <c r="F23" s="9" t="s">
        <v>95</v>
      </c>
      <c r="G23" s="9" t="s">
        <v>31</v>
      </c>
      <c r="H23" s="9" t="s">
        <v>32</v>
      </c>
      <c r="I23" s="7">
        <v>0.02</v>
      </c>
      <c r="J23" s="11">
        <f t="shared" si="0"/>
        <v>0.02</v>
      </c>
      <c r="K23" s="9"/>
      <c r="L23" s="9" t="s">
        <v>96</v>
      </c>
    </row>
    <row r="24" spans="1:12" ht="25.5" customHeight="1" x14ac:dyDescent="0.25">
      <c r="A24" s="9">
        <v>20</v>
      </c>
      <c r="B24" s="5">
        <v>1</v>
      </c>
      <c r="C24" s="9" t="s">
        <v>97</v>
      </c>
      <c r="D24" s="10" t="s">
        <v>98</v>
      </c>
      <c r="E24" s="9" t="s">
        <v>63</v>
      </c>
      <c r="F24" s="9" t="s">
        <v>99</v>
      </c>
      <c r="G24" s="9" t="s">
        <v>31</v>
      </c>
      <c r="H24" s="9" t="s">
        <v>32</v>
      </c>
      <c r="I24" s="7">
        <v>0.02</v>
      </c>
      <c r="J24" s="11">
        <f t="shared" si="0"/>
        <v>0.02</v>
      </c>
      <c r="K24" s="9"/>
      <c r="L24" s="9" t="s">
        <v>100</v>
      </c>
    </row>
    <row r="25" spans="1:12" ht="25.5" customHeight="1" x14ac:dyDescent="0.25">
      <c r="A25" s="9">
        <v>21</v>
      </c>
      <c r="B25" s="5">
        <v>1</v>
      </c>
      <c r="C25" s="9" t="s">
        <v>101</v>
      </c>
      <c r="D25" s="10" t="s">
        <v>102</v>
      </c>
      <c r="E25" s="9" t="s">
        <v>29</v>
      </c>
      <c r="F25" s="9" t="s">
        <v>103</v>
      </c>
      <c r="G25" s="9" t="s">
        <v>74</v>
      </c>
      <c r="H25" s="9" t="s">
        <v>32</v>
      </c>
      <c r="I25" s="7">
        <v>0.1</v>
      </c>
      <c r="J25" s="11">
        <f t="shared" si="0"/>
        <v>0.1</v>
      </c>
      <c r="K25" s="9"/>
      <c r="L25" s="9" t="s">
        <v>104</v>
      </c>
    </row>
    <row r="26" spans="1:12" ht="25.5" customHeight="1" x14ac:dyDescent="0.25">
      <c r="A26" s="9">
        <v>22</v>
      </c>
      <c r="B26" s="5">
        <v>1</v>
      </c>
      <c r="C26" s="9" t="s">
        <v>105</v>
      </c>
      <c r="D26" s="10" t="s">
        <v>106</v>
      </c>
      <c r="E26" s="9" t="s">
        <v>29</v>
      </c>
      <c r="F26" s="9" t="s">
        <v>107</v>
      </c>
      <c r="G26" s="9" t="s">
        <v>31</v>
      </c>
      <c r="H26" s="9" t="s">
        <v>32</v>
      </c>
      <c r="I26" s="7">
        <v>0.03</v>
      </c>
      <c r="J26" s="11">
        <f t="shared" si="0"/>
        <v>0.03</v>
      </c>
      <c r="K26" s="9"/>
      <c r="L26" s="9"/>
    </row>
    <row r="27" spans="1:12" ht="25.5" customHeight="1" x14ac:dyDescent="0.25">
      <c r="A27" s="9">
        <v>23</v>
      </c>
      <c r="B27" s="5">
        <v>1</v>
      </c>
      <c r="C27" s="9" t="s">
        <v>108</v>
      </c>
      <c r="D27" s="10" t="s">
        <v>109</v>
      </c>
      <c r="E27" s="9" t="s">
        <v>63</v>
      </c>
      <c r="F27" s="9" t="s">
        <v>110</v>
      </c>
      <c r="G27" s="9" t="s">
        <v>31</v>
      </c>
      <c r="H27" s="9" t="s">
        <v>32</v>
      </c>
      <c r="I27" s="7">
        <v>0.02</v>
      </c>
      <c r="J27" s="11">
        <f t="shared" si="0"/>
        <v>0.02</v>
      </c>
      <c r="K27" s="9"/>
      <c r="L27" s="9" t="s">
        <v>111</v>
      </c>
    </row>
    <row r="28" spans="1:12" ht="25.5" customHeight="1" x14ac:dyDescent="0.25">
      <c r="A28" s="9">
        <v>24</v>
      </c>
      <c r="B28" s="5">
        <v>1</v>
      </c>
      <c r="C28" s="9" t="s">
        <v>112</v>
      </c>
      <c r="D28" s="10" t="s">
        <v>113</v>
      </c>
      <c r="E28" s="9" t="s">
        <v>29</v>
      </c>
      <c r="F28" s="9" t="s">
        <v>114</v>
      </c>
      <c r="G28" s="9" t="s">
        <v>31</v>
      </c>
      <c r="H28" s="9" t="s">
        <v>32</v>
      </c>
      <c r="I28" s="7">
        <v>0.04</v>
      </c>
      <c r="J28" s="11">
        <f t="shared" si="0"/>
        <v>0.04</v>
      </c>
      <c r="K28" s="9"/>
      <c r="L28" s="9" t="s">
        <v>115</v>
      </c>
    </row>
    <row r="29" spans="1:12" ht="25.5" customHeight="1" x14ac:dyDescent="0.25">
      <c r="A29" s="15">
        <v>25</v>
      </c>
      <c r="B29" s="5">
        <v>1</v>
      </c>
      <c r="C29" s="15" t="s">
        <v>116</v>
      </c>
      <c r="D29" s="16" t="s">
        <v>117</v>
      </c>
      <c r="E29" s="15" t="s">
        <v>16</v>
      </c>
      <c r="F29" s="15" t="s">
        <v>118</v>
      </c>
      <c r="G29" s="15" t="s">
        <v>119</v>
      </c>
      <c r="H29" s="15" t="s">
        <v>53</v>
      </c>
      <c r="I29" s="7">
        <v>0.45</v>
      </c>
      <c r="J29" s="17">
        <f t="shared" si="0"/>
        <v>0.45</v>
      </c>
      <c r="K29" s="15"/>
      <c r="L29" s="15" t="s">
        <v>120</v>
      </c>
    </row>
    <row r="30" spans="1:12" ht="25.5" customHeight="1" x14ac:dyDescent="0.25">
      <c r="A30" s="18">
        <v>26</v>
      </c>
      <c r="B30" s="5">
        <v>1</v>
      </c>
      <c r="C30" s="18" t="s">
        <v>121</v>
      </c>
      <c r="D30" s="19" t="s">
        <v>122</v>
      </c>
      <c r="E30" s="18" t="s">
        <v>123</v>
      </c>
      <c r="F30" s="18" t="s">
        <v>124</v>
      </c>
      <c r="G30" s="18" t="s">
        <v>125</v>
      </c>
      <c r="H30" s="18" t="s">
        <v>126</v>
      </c>
      <c r="I30" s="7">
        <v>2.27</v>
      </c>
      <c r="J30" s="20">
        <f t="shared" si="0"/>
        <v>2.27</v>
      </c>
      <c r="K30" s="18"/>
      <c r="L30" s="18" t="s">
        <v>127</v>
      </c>
    </row>
    <row r="31" spans="1:12" ht="25.5" customHeight="1" x14ac:dyDescent="0.25">
      <c r="A31" s="18">
        <v>27</v>
      </c>
      <c r="B31" s="5">
        <v>1</v>
      </c>
      <c r="C31" s="18" t="s">
        <v>128</v>
      </c>
      <c r="D31" s="19" t="s">
        <v>122</v>
      </c>
      <c r="E31" s="18" t="s">
        <v>123</v>
      </c>
      <c r="F31" s="18" t="s">
        <v>129</v>
      </c>
      <c r="G31" s="18" t="s">
        <v>125</v>
      </c>
      <c r="H31" s="18" t="s">
        <v>126</v>
      </c>
      <c r="I31" s="7">
        <v>2.27</v>
      </c>
      <c r="J31" s="20">
        <f t="shared" si="0"/>
        <v>2.27</v>
      </c>
      <c r="K31" s="18"/>
      <c r="L31" s="18"/>
    </row>
    <row r="32" spans="1:12" ht="25.5" customHeight="1" x14ac:dyDescent="0.25">
      <c r="A32" s="18">
        <v>28</v>
      </c>
      <c r="B32" s="5">
        <v>1</v>
      </c>
      <c r="C32" s="18" t="s">
        <v>130</v>
      </c>
      <c r="D32" s="19" t="s">
        <v>122</v>
      </c>
      <c r="E32" s="18" t="s">
        <v>123</v>
      </c>
      <c r="F32" s="18" t="s">
        <v>131</v>
      </c>
      <c r="G32" s="18" t="s">
        <v>125</v>
      </c>
      <c r="H32" s="18" t="s">
        <v>126</v>
      </c>
      <c r="I32" s="7">
        <v>2.27</v>
      </c>
      <c r="J32" s="20">
        <f t="shared" si="0"/>
        <v>2.27</v>
      </c>
      <c r="K32" s="18"/>
      <c r="L32" s="18"/>
    </row>
    <row r="33" spans="1:12" ht="25.5" customHeight="1" x14ac:dyDescent="0.25">
      <c r="A33" s="18">
        <v>29</v>
      </c>
      <c r="B33" s="5">
        <v>1</v>
      </c>
      <c r="C33" s="18" t="s">
        <v>132</v>
      </c>
      <c r="D33" s="19" t="s">
        <v>122</v>
      </c>
      <c r="E33" s="18" t="s">
        <v>123</v>
      </c>
      <c r="F33" s="18" t="s">
        <v>133</v>
      </c>
      <c r="G33" s="18" t="s">
        <v>125</v>
      </c>
      <c r="H33" s="18" t="s">
        <v>126</v>
      </c>
      <c r="I33" s="7">
        <v>2.27</v>
      </c>
      <c r="J33" s="20">
        <f t="shared" si="0"/>
        <v>2.27</v>
      </c>
      <c r="K33" s="18"/>
      <c r="L33" s="18"/>
    </row>
    <row r="34" spans="1:12" ht="25.5" customHeight="1" x14ac:dyDescent="0.25">
      <c r="A34" s="21">
        <v>30</v>
      </c>
      <c r="B34" s="5">
        <v>8</v>
      </c>
      <c r="C34" s="21" t="s">
        <v>134</v>
      </c>
      <c r="D34" s="22" t="s">
        <v>135</v>
      </c>
      <c r="E34" s="21" t="s">
        <v>16</v>
      </c>
      <c r="F34" s="21" t="s">
        <v>136</v>
      </c>
      <c r="G34" s="21" t="s">
        <v>137</v>
      </c>
      <c r="H34" s="21" t="s">
        <v>138</v>
      </c>
      <c r="I34" s="7">
        <v>0.42</v>
      </c>
      <c r="J34" s="23">
        <f t="shared" si="0"/>
        <v>3.36</v>
      </c>
      <c r="K34" s="21"/>
      <c r="L34" s="21" t="s">
        <v>139</v>
      </c>
    </row>
    <row r="35" spans="1:12" ht="25.5" customHeight="1" x14ac:dyDescent="0.25">
      <c r="A35" s="21">
        <v>31</v>
      </c>
      <c r="B35" s="5">
        <v>4</v>
      </c>
      <c r="C35" s="21" t="s">
        <v>140</v>
      </c>
      <c r="D35" s="22" t="s">
        <v>141</v>
      </c>
      <c r="E35" s="21" t="s">
        <v>16</v>
      </c>
      <c r="F35" s="21" t="s">
        <v>142</v>
      </c>
      <c r="G35" s="21" t="s">
        <v>143</v>
      </c>
      <c r="H35" s="21" t="s">
        <v>138</v>
      </c>
      <c r="I35" s="7">
        <v>0.38</v>
      </c>
      <c r="J35" s="23">
        <f t="shared" si="0"/>
        <v>1.52</v>
      </c>
      <c r="K35" s="21"/>
      <c r="L35" s="21"/>
    </row>
    <row r="36" spans="1:12" ht="25.5" customHeight="1" x14ac:dyDescent="0.25">
      <c r="A36" s="21">
        <v>32</v>
      </c>
      <c r="B36" s="5">
        <v>4</v>
      </c>
      <c r="C36" s="21" t="s">
        <v>144</v>
      </c>
      <c r="D36" s="22" t="s">
        <v>145</v>
      </c>
      <c r="E36" s="21" t="s">
        <v>146</v>
      </c>
      <c r="F36" s="21" t="s">
        <v>147</v>
      </c>
      <c r="G36" s="21" t="s">
        <v>148</v>
      </c>
      <c r="H36" s="21" t="s">
        <v>138</v>
      </c>
      <c r="I36" s="7">
        <v>0.08</v>
      </c>
      <c r="J36" s="23">
        <f t="shared" si="0"/>
        <v>0.32</v>
      </c>
      <c r="K36" s="21"/>
      <c r="L36" s="21" t="s">
        <v>149</v>
      </c>
    </row>
    <row r="37" spans="1:12" ht="25.5" customHeight="1" x14ac:dyDescent="0.25">
      <c r="A37" s="9">
        <v>33</v>
      </c>
      <c r="B37" s="5">
        <v>16</v>
      </c>
      <c r="C37" s="9" t="s">
        <v>150</v>
      </c>
      <c r="D37" s="10" t="s">
        <v>151</v>
      </c>
      <c r="E37" s="9" t="s">
        <v>29</v>
      </c>
      <c r="F37" s="9" t="s">
        <v>152</v>
      </c>
      <c r="G37" s="9" t="s">
        <v>31</v>
      </c>
      <c r="H37" s="9" t="s">
        <v>32</v>
      </c>
      <c r="I37" s="7">
        <v>0.04</v>
      </c>
      <c r="J37" s="11">
        <f t="shared" si="0"/>
        <v>0.64</v>
      </c>
      <c r="K37" s="9"/>
      <c r="L37" s="9" t="s">
        <v>153</v>
      </c>
    </row>
    <row r="38" spans="1:12" ht="25.5" customHeight="1" x14ac:dyDescent="0.25">
      <c r="A38" s="9">
        <v>34</v>
      </c>
      <c r="B38" s="5">
        <v>4</v>
      </c>
      <c r="C38" s="9" t="s">
        <v>154</v>
      </c>
      <c r="D38" s="10" t="s">
        <v>155</v>
      </c>
      <c r="E38" s="9" t="s">
        <v>63</v>
      </c>
      <c r="F38" s="9" t="s">
        <v>156</v>
      </c>
      <c r="G38" s="9" t="s">
        <v>31</v>
      </c>
      <c r="H38" s="9" t="s">
        <v>32</v>
      </c>
      <c r="I38" s="7">
        <v>0.02</v>
      </c>
      <c r="J38" s="11">
        <f t="shared" si="0"/>
        <v>0.08</v>
      </c>
      <c r="K38" s="9"/>
      <c r="L38" s="9"/>
    </row>
    <row r="39" spans="1:12" ht="25.5" customHeight="1" x14ac:dyDescent="0.25">
      <c r="A39" s="9">
        <v>35</v>
      </c>
      <c r="B39" s="5">
        <v>3</v>
      </c>
      <c r="C39" s="9" t="s">
        <v>157</v>
      </c>
      <c r="D39" s="10" t="s">
        <v>158</v>
      </c>
      <c r="E39" s="9" t="s">
        <v>63</v>
      </c>
      <c r="F39" s="9" t="s">
        <v>159</v>
      </c>
      <c r="G39" s="9" t="s">
        <v>31</v>
      </c>
      <c r="H39" s="9" t="s">
        <v>32</v>
      </c>
      <c r="I39" s="7">
        <v>0.02</v>
      </c>
      <c r="J39" s="11">
        <f t="shared" si="0"/>
        <v>0.06</v>
      </c>
      <c r="K39" s="9"/>
      <c r="L39" s="9"/>
    </row>
    <row r="40" spans="1:12" ht="25.5" customHeight="1" x14ac:dyDescent="0.25">
      <c r="A40" s="9">
        <v>36</v>
      </c>
      <c r="B40" s="5">
        <v>4</v>
      </c>
      <c r="C40" s="9" t="s">
        <v>160</v>
      </c>
      <c r="D40" s="10" t="s">
        <v>161</v>
      </c>
      <c r="E40" s="9" t="s">
        <v>29</v>
      </c>
      <c r="F40" s="9" t="s">
        <v>162</v>
      </c>
      <c r="G40" s="9" t="s">
        <v>163</v>
      </c>
      <c r="H40" s="9" t="s">
        <v>32</v>
      </c>
      <c r="I40" s="7">
        <v>0.08</v>
      </c>
      <c r="J40" s="11">
        <f t="shared" si="0"/>
        <v>0.32</v>
      </c>
      <c r="K40" s="9"/>
      <c r="L40" s="9"/>
    </row>
    <row r="41" spans="1:12" ht="25.5" customHeight="1" x14ac:dyDescent="0.25">
      <c r="A41" s="9">
        <v>37</v>
      </c>
      <c r="B41" s="5">
        <v>1</v>
      </c>
      <c r="C41" s="9" t="s">
        <v>164</v>
      </c>
      <c r="D41" s="10" t="s">
        <v>165</v>
      </c>
      <c r="E41" s="9" t="s">
        <v>166</v>
      </c>
      <c r="F41" s="9" t="s">
        <v>167</v>
      </c>
      <c r="G41" s="9" t="s">
        <v>168</v>
      </c>
      <c r="H41" s="9" t="s">
        <v>32</v>
      </c>
      <c r="I41" s="7">
        <v>0.85</v>
      </c>
      <c r="J41" s="11">
        <f t="shared" si="0"/>
        <v>0.85</v>
      </c>
      <c r="K41" s="9"/>
      <c r="L41" s="9" t="s">
        <v>169</v>
      </c>
    </row>
    <row r="42" spans="1:12" ht="25.5" customHeight="1" x14ac:dyDescent="0.25">
      <c r="A42" s="9">
        <v>38</v>
      </c>
      <c r="B42" s="5">
        <v>20</v>
      </c>
      <c r="C42" s="9" t="s">
        <v>170</v>
      </c>
      <c r="D42" s="10" t="s">
        <v>106</v>
      </c>
      <c r="E42" s="9" t="s">
        <v>29</v>
      </c>
      <c r="F42" s="9" t="s">
        <v>171</v>
      </c>
      <c r="G42" s="9" t="s">
        <v>31</v>
      </c>
      <c r="H42" s="9" t="s">
        <v>32</v>
      </c>
      <c r="I42" s="7">
        <v>0.03</v>
      </c>
      <c r="J42" s="11">
        <f t="shared" si="0"/>
        <v>0.6</v>
      </c>
      <c r="K42" s="9"/>
      <c r="L42" s="9" t="s">
        <v>172</v>
      </c>
    </row>
    <row r="43" spans="1:12" ht="25.5" customHeight="1" x14ac:dyDescent="0.25">
      <c r="A43" s="9">
        <v>39</v>
      </c>
      <c r="B43" s="5">
        <v>24</v>
      </c>
      <c r="C43" s="9" t="s">
        <v>173</v>
      </c>
      <c r="D43" s="10" t="s">
        <v>174</v>
      </c>
      <c r="E43" s="9" t="s">
        <v>29</v>
      </c>
      <c r="F43" s="9" t="s">
        <v>175</v>
      </c>
      <c r="G43" s="9" t="s">
        <v>31</v>
      </c>
      <c r="H43" s="9" t="s">
        <v>32</v>
      </c>
      <c r="I43" s="7">
        <v>0.02</v>
      </c>
      <c r="J43" s="11">
        <f t="shared" si="0"/>
        <v>0.48</v>
      </c>
      <c r="K43" s="9"/>
      <c r="L43" s="9"/>
    </row>
    <row r="44" spans="1:12" ht="25.5" customHeight="1" x14ac:dyDescent="0.25">
      <c r="A44" s="24">
        <v>40</v>
      </c>
      <c r="B44" s="5">
        <v>1</v>
      </c>
      <c r="C44" s="24" t="s">
        <v>176</v>
      </c>
      <c r="D44" s="25" t="s">
        <v>177</v>
      </c>
      <c r="E44" s="24" t="s">
        <v>178</v>
      </c>
      <c r="F44" s="24" t="s">
        <v>179</v>
      </c>
      <c r="G44" s="24" t="s">
        <v>180</v>
      </c>
      <c r="H44" s="24" t="s">
        <v>181</v>
      </c>
      <c r="I44" s="7">
        <v>18</v>
      </c>
      <c r="J44" s="26">
        <f t="shared" si="0"/>
        <v>18</v>
      </c>
      <c r="K44" s="24"/>
      <c r="L44" s="24" t="s">
        <v>182</v>
      </c>
    </row>
    <row r="45" spans="1:12" ht="25.5" customHeight="1" x14ac:dyDescent="0.25">
      <c r="A45" s="24">
        <v>41</v>
      </c>
      <c r="B45" s="5">
        <v>4</v>
      </c>
      <c r="C45" s="24" t="s">
        <v>183</v>
      </c>
      <c r="D45" s="25" t="s">
        <v>184</v>
      </c>
      <c r="E45" s="24" t="s">
        <v>185</v>
      </c>
      <c r="F45" s="24" t="s">
        <v>186</v>
      </c>
      <c r="G45" s="24" t="s">
        <v>187</v>
      </c>
      <c r="H45" s="24" t="s">
        <v>181</v>
      </c>
      <c r="I45" s="7">
        <v>0.4</v>
      </c>
      <c r="J45" s="26">
        <f t="shared" si="0"/>
        <v>1.6</v>
      </c>
      <c r="K45" s="24"/>
      <c r="L45" s="24"/>
    </row>
    <row r="46" spans="1:12" ht="15" customHeight="1" x14ac:dyDescent="0.25">
      <c r="H46" s="27" t="s">
        <v>188</v>
      </c>
      <c r="I46" s="28"/>
      <c r="J46" s="29">
        <f>SUM(J5:J45)</f>
        <v>56.209999999999994</v>
      </c>
    </row>
    <row r="48" spans="1:12" ht="15.75" customHeight="1" x14ac:dyDescent="0.3">
      <c r="A48" s="30" t="s">
        <v>189</v>
      </c>
    </row>
    <row r="49" spans="1:3" ht="23.25" customHeight="1" x14ac:dyDescent="0.25">
      <c r="A49" s="31" t="s">
        <v>190</v>
      </c>
      <c r="B49" s="31" t="s">
        <v>11</v>
      </c>
      <c r="C49" s="31" t="s">
        <v>191</v>
      </c>
    </row>
    <row r="50" spans="1:3" ht="15" customHeight="1" x14ac:dyDescent="0.25">
      <c r="A50" s="32" t="s">
        <v>19</v>
      </c>
      <c r="B50" s="33">
        <f t="shared" ref="B50:B56" si="1">SUMIF($H$5:$H$45,A50,$J$5:$J$45)</f>
        <v>5.95</v>
      </c>
      <c r="C50" s="34">
        <f t="shared" ref="C50:C56" si="2">IF($J$46=0,0,B50/$J$46)</f>
        <v>0.10585305105853053</v>
      </c>
    </row>
    <row r="51" spans="1:3" ht="15" customHeight="1" x14ac:dyDescent="0.25">
      <c r="A51" s="35" t="s">
        <v>38</v>
      </c>
      <c r="B51" s="36">
        <f t="shared" si="1"/>
        <v>7.4</v>
      </c>
      <c r="C51" s="37">
        <f t="shared" si="2"/>
        <v>0.13164917274506319</v>
      </c>
    </row>
    <row r="52" spans="1:3" ht="15" customHeight="1" x14ac:dyDescent="0.25">
      <c r="A52" s="38" t="s">
        <v>53</v>
      </c>
      <c r="B52" s="39">
        <f t="shared" si="1"/>
        <v>5.13</v>
      </c>
      <c r="C52" s="40">
        <f t="shared" si="2"/>
        <v>9.126489948407758E-2</v>
      </c>
    </row>
    <row r="53" spans="1:3" ht="15" customHeight="1" x14ac:dyDescent="0.25">
      <c r="A53" s="41" t="s">
        <v>138</v>
      </c>
      <c r="B53" s="42">
        <f t="shared" si="1"/>
        <v>5.2</v>
      </c>
      <c r="C53" s="43">
        <f t="shared" si="2"/>
        <v>9.2510229496530885E-2</v>
      </c>
    </row>
    <row r="54" spans="1:3" ht="15" customHeight="1" x14ac:dyDescent="0.25">
      <c r="A54" s="44" t="s">
        <v>126</v>
      </c>
      <c r="B54" s="45">
        <f t="shared" si="1"/>
        <v>9.08</v>
      </c>
      <c r="C54" s="46">
        <f t="shared" si="2"/>
        <v>0.16153709304394237</v>
      </c>
    </row>
    <row r="55" spans="1:3" ht="15" customHeight="1" x14ac:dyDescent="0.25">
      <c r="A55" s="47" t="s">
        <v>32</v>
      </c>
      <c r="B55" s="48">
        <f t="shared" si="1"/>
        <v>3.85</v>
      </c>
      <c r="C55" s="49">
        <f t="shared" si="2"/>
        <v>6.8493150684931517E-2</v>
      </c>
    </row>
    <row r="56" spans="1:3" ht="15" customHeight="1" x14ac:dyDescent="0.25">
      <c r="A56" s="50" t="s">
        <v>181</v>
      </c>
      <c r="B56" s="51">
        <f t="shared" si="1"/>
        <v>19.600000000000001</v>
      </c>
      <c r="C56" s="52">
        <f t="shared" si="2"/>
        <v>0.3486924034869241</v>
      </c>
    </row>
  </sheetData>
  <autoFilter ref="A4:L45" xr:uid="{00000000-0009-0000-0000-000000000000}"/>
  <mergeCells count="2">
    <mergeCell ref="A1:L1"/>
    <mergeCell ref="A2:L2"/>
  </mergeCells>
  <phoneticPr fontId="10" type="noConversion"/>
  <pageMargins left="0.75" right="0.75" top="1" bottom="1" header="0.511811023622047" footer="0.5"/>
  <pageSetup fitToHeight="0" orientation="landscape" horizontalDpi="300" verticalDpi="300"/>
  <headerFooter>
    <oddFooter>&amp;LCase C  |  LDO 3.3 V + buck 1.1 V  |  4 Type-C only&amp;RPage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5"/>
  <sheetViews>
    <sheetView zoomScaleNormal="100" workbookViewId="0"/>
  </sheetViews>
  <sheetFormatPr defaultColWidth="8.7109375" defaultRowHeight="15" x14ac:dyDescent="0.25"/>
  <cols>
    <col min="1" max="1" width="32" customWidth="1"/>
    <col min="2" max="2" width="20" customWidth="1"/>
    <col min="3" max="5" width="12" customWidth="1"/>
    <col min="6" max="6" width="40" customWidth="1"/>
  </cols>
  <sheetData>
    <row r="1" spans="1:6" ht="19.5" customHeight="1" x14ac:dyDescent="0.35">
      <c r="A1" s="2" t="s">
        <v>192</v>
      </c>
      <c r="B1" s="2"/>
      <c r="C1" s="2"/>
      <c r="D1" s="2"/>
      <c r="E1" s="2"/>
      <c r="F1" s="2"/>
    </row>
    <row r="3" spans="1:6" ht="15" customHeight="1" x14ac:dyDescent="0.25">
      <c r="A3" s="31" t="s">
        <v>5</v>
      </c>
      <c r="B3" s="31" t="s">
        <v>6</v>
      </c>
      <c r="C3" s="31" t="s">
        <v>193</v>
      </c>
      <c r="D3" s="31" t="s">
        <v>10</v>
      </c>
      <c r="E3" s="31" t="s">
        <v>11</v>
      </c>
      <c r="F3" s="31" t="s">
        <v>194</v>
      </c>
    </row>
    <row r="4" spans="1:6" ht="18" customHeight="1" x14ac:dyDescent="0.25">
      <c r="A4" s="53" t="s">
        <v>15</v>
      </c>
      <c r="B4" s="54" t="s">
        <v>16</v>
      </c>
      <c r="C4" s="55">
        <f>SUMIF(BOM!D:D,A4,BOM!B:B)</f>
        <v>1</v>
      </c>
      <c r="D4" s="7">
        <f>IFERROR(INDEX(BOM!I:I,MATCH(A4,BOM!D:D,0)),0)</f>
        <v>5.4</v>
      </c>
      <c r="E4" s="56">
        <f t="shared" ref="E4:E33" si="0">C4*D4</f>
        <v>5.4</v>
      </c>
      <c r="F4" s="54" t="s">
        <v>14</v>
      </c>
    </row>
    <row r="5" spans="1:6" ht="18" customHeight="1" x14ac:dyDescent="0.25">
      <c r="A5" s="53" t="s">
        <v>22</v>
      </c>
      <c r="B5" s="54" t="s">
        <v>23</v>
      </c>
      <c r="C5" s="55">
        <f>SUMIF(BOM!D:D,A5,BOM!B:B)</f>
        <v>1</v>
      </c>
      <c r="D5" s="7">
        <f>IFERROR(INDEX(BOM!I:I,MATCH(A5,BOM!D:D,0)),0)</f>
        <v>0.55000000000000004</v>
      </c>
      <c r="E5" s="56">
        <f t="shared" si="0"/>
        <v>0.55000000000000004</v>
      </c>
      <c r="F5" s="54" t="s">
        <v>21</v>
      </c>
    </row>
    <row r="6" spans="1:6" ht="18" customHeight="1" x14ac:dyDescent="0.25">
      <c r="A6" s="53" t="s">
        <v>28</v>
      </c>
      <c r="B6" s="54" t="s">
        <v>29</v>
      </c>
      <c r="C6" s="55">
        <f>SUMIF(BOM!D:D,A6,BOM!B:B)</f>
        <v>2</v>
      </c>
      <c r="D6" s="7">
        <f>IFERROR(INDEX(BOM!I:I,MATCH(A6,BOM!D:D,0)),0)</f>
        <v>0.03</v>
      </c>
      <c r="E6" s="56">
        <f t="shared" si="0"/>
        <v>0.06</v>
      </c>
      <c r="F6" s="54" t="s">
        <v>27</v>
      </c>
    </row>
    <row r="7" spans="1:6" ht="18" customHeight="1" x14ac:dyDescent="0.25">
      <c r="A7" s="53" t="s">
        <v>35</v>
      </c>
      <c r="B7" s="54" t="s">
        <v>16</v>
      </c>
      <c r="C7" s="55">
        <f>SUMIF(BOM!D:D,A7,BOM!B:B)</f>
        <v>4</v>
      </c>
      <c r="D7" s="7">
        <f>IFERROR(INDEX(BOM!I:I,MATCH(A7,BOM!D:D,0)),0)</f>
        <v>1.85</v>
      </c>
      <c r="E7" s="56">
        <f t="shared" si="0"/>
        <v>7.4</v>
      </c>
      <c r="F7" s="54" t="s">
        <v>195</v>
      </c>
    </row>
    <row r="8" spans="1:6" ht="18" customHeight="1" x14ac:dyDescent="0.25">
      <c r="A8" s="53" t="s">
        <v>50</v>
      </c>
      <c r="B8" s="54" t="s">
        <v>16</v>
      </c>
      <c r="C8" s="55">
        <f>SUMIF(BOM!D:D,A8,BOM!B:B)</f>
        <v>3</v>
      </c>
      <c r="D8" s="7">
        <f>IFERROR(INDEX(BOM!I:I,MATCH(A8,BOM!D:D,0)),0)</f>
        <v>0.85</v>
      </c>
      <c r="E8" s="56">
        <f t="shared" si="0"/>
        <v>2.5499999999999998</v>
      </c>
      <c r="F8" s="54" t="s">
        <v>196</v>
      </c>
    </row>
    <row r="9" spans="1:6" ht="18" customHeight="1" x14ac:dyDescent="0.25">
      <c r="A9" s="53" t="s">
        <v>62</v>
      </c>
      <c r="B9" s="54" t="s">
        <v>63</v>
      </c>
      <c r="C9" s="55">
        <f>SUMIF(BOM!D:D,A9,BOM!B:B)</f>
        <v>3</v>
      </c>
      <c r="D9" s="7">
        <f>IFERROR(INDEX(BOM!I:I,MATCH(A9,BOM!D:D,0)),0)</f>
        <v>0.03</v>
      </c>
      <c r="E9" s="56">
        <f t="shared" si="0"/>
        <v>0.09</v>
      </c>
      <c r="F9" s="54" t="s">
        <v>61</v>
      </c>
    </row>
    <row r="10" spans="1:6" ht="18" customHeight="1" x14ac:dyDescent="0.25">
      <c r="A10" s="53" t="s">
        <v>67</v>
      </c>
      <c r="B10" s="54" t="s">
        <v>16</v>
      </c>
      <c r="C10" s="55">
        <f>SUMIF(BOM!D:D,A10,BOM!B:B)</f>
        <v>1</v>
      </c>
      <c r="D10" s="7">
        <f>IFERROR(INDEX(BOM!I:I,MATCH(A10,BOM!D:D,0)),0)</f>
        <v>0.36</v>
      </c>
      <c r="E10" s="56">
        <f t="shared" si="0"/>
        <v>0.36</v>
      </c>
      <c r="F10" s="54" t="s">
        <v>66</v>
      </c>
    </row>
    <row r="11" spans="1:6" ht="18" customHeight="1" x14ac:dyDescent="0.25">
      <c r="A11" s="53" t="s">
        <v>72</v>
      </c>
      <c r="B11" s="54" t="s">
        <v>29</v>
      </c>
      <c r="C11" s="55">
        <f>SUMIF(BOM!D:D,A11,BOM!B:B)</f>
        <v>4</v>
      </c>
      <c r="D11" s="7">
        <f>IFERROR(INDEX(BOM!I:I,MATCH(A11,BOM!D:D,0)),0)</f>
        <v>0.08</v>
      </c>
      <c r="E11" s="56">
        <f t="shared" si="0"/>
        <v>0.32</v>
      </c>
      <c r="F11" s="54" t="s">
        <v>197</v>
      </c>
    </row>
    <row r="12" spans="1:6" ht="18" customHeight="1" x14ac:dyDescent="0.25">
      <c r="A12" s="53" t="s">
        <v>76</v>
      </c>
      <c r="B12" s="54" t="s">
        <v>29</v>
      </c>
      <c r="C12" s="55">
        <f>SUMIF(BOM!D:D,A12,BOM!B:B)</f>
        <v>1</v>
      </c>
      <c r="D12" s="7">
        <f>IFERROR(INDEX(BOM!I:I,MATCH(A12,BOM!D:D,0)),0)</f>
        <v>0.12</v>
      </c>
      <c r="E12" s="56">
        <f t="shared" si="0"/>
        <v>0.12</v>
      </c>
      <c r="F12" s="54" t="s">
        <v>75</v>
      </c>
    </row>
    <row r="13" spans="1:6" ht="18" customHeight="1" x14ac:dyDescent="0.25">
      <c r="A13" s="53" t="s">
        <v>79</v>
      </c>
      <c r="B13" s="54" t="s">
        <v>16</v>
      </c>
      <c r="C13" s="55">
        <f>SUMIF(BOM!D:D,A13,BOM!B:B)</f>
        <v>1</v>
      </c>
      <c r="D13" s="7">
        <f>IFERROR(INDEX(BOM!I:I,MATCH(A13,BOM!D:D,0)),0)</f>
        <v>0.62</v>
      </c>
      <c r="E13" s="56">
        <f t="shared" si="0"/>
        <v>0.62</v>
      </c>
      <c r="F13" s="54" t="s">
        <v>78</v>
      </c>
    </row>
    <row r="14" spans="1:6" ht="18" customHeight="1" x14ac:dyDescent="0.25">
      <c r="A14" s="53" t="s">
        <v>83</v>
      </c>
      <c r="B14" s="54" t="s">
        <v>84</v>
      </c>
      <c r="C14" s="55">
        <f>SUMIF(BOM!D:D,A14,BOM!B:B)</f>
        <v>1</v>
      </c>
      <c r="D14" s="7">
        <f>IFERROR(INDEX(BOM!I:I,MATCH(A14,BOM!D:D,0)),0)</f>
        <v>1.1499999999999999</v>
      </c>
      <c r="E14" s="56">
        <f t="shared" si="0"/>
        <v>1.1499999999999999</v>
      </c>
      <c r="F14" s="54" t="s">
        <v>82</v>
      </c>
    </row>
    <row r="15" spans="1:6" ht="18" customHeight="1" x14ac:dyDescent="0.25">
      <c r="A15" s="53" t="s">
        <v>94</v>
      </c>
      <c r="B15" s="54" t="s">
        <v>63</v>
      </c>
      <c r="C15" s="55">
        <f>SUMIF(BOM!D:D,A15,BOM!B:B)</f>
        <v>1</v>
      </c>
      <c r="D15" s="7">
        <f>IFERROR(INDEX(BOM!I:I,MATCH(A15,BOM!D:D,0)),0)</f>
        <v>0.02</v>
      </c>
      <c r="E15" s="56">
        <f t="shared" si="0"/>
        <v>0.02</v>
      </c>
      <c r="F15" s="54" t="s">
        <v>93</v>
      </c>
    </row>
    <row r="16" spans="1:6" ht="18" customHeight="1" x14ac:dyDescent="0.25">
      <c r="A16" s="53" t="s">
        <v>98</v>
      </c>
      <c r="B16" s="54" t="s">
        <v>63</v>
      </c>
      <c r="C16" s="55">
        <f>SUMIF(BOM!D:D,A16,BOM!B:B)</f>
        <v>1</v>
      </c>
      <c r="D16" s="7">
        <f>IFERROR(INDEX(BOM!I:I,MATCH(A16,BOM!D:D,0)),0)</f>
        <v>0.02</v>
      </c>
      <c r="E16" s="56">
        <f t="shared" si="0"/>
        <v>0.02</v>
      </c>
      <c r="F16" s="54" t="s">
        <v>97</v>
      </c>
    </row>
    <row r="17" spans="1:6" ht="18" customHeight="1" x14ac:dyDescent="0.25">
      <c r="A17" s="53" t="s">
        <v>102</v>
      </c>
      <c r="B17" s="54" t="s">
        <v>29</v>
      </c>
      <c r="C17" s="55">
        <f>SUMIF(BOM!D:D,A17,BOM!B:B)</f>
        <v>1</v>
      </c>
      <c r="D17" s="7">
        <f>IFERROR(INDEX(BOM!I:I,MATCH(A17,BOM!D:D,0)),0)</f>
        <v>0.1</v>
      </c>
      <c r="E17" s="56">
        <f t="shared" si="0"/>
        <v>0.1</v>
      </c>
      <c r="F17" s="54" t="s">
        <v>101</v>
      </c>
    </row>
    <row r="18" spans="1:6" ht="18" customHeight="1" x14ac:dyDescent="0.25">
      <c r="A18" s="53" t="s">
        <v>106</v>
      </c>
      <c r="B18" s="54" t="s">
        <v>29</v>
      </c>
      <c r="C18" s="55">
        <f>SUMIF(BOM!D:D,A18,BOM!B:B)</f>
        <v>21</v>
      </c>
      <c r="D18" s="7">
        <f>IFERROR(INDEX(BOM!I:I,MATCH(A18,BOM!D:D,0)),0)</f>
        <v>0.03</v>
      </c>
      <c r="E18" s="56">
        <f t="shared" si="0"/>
        <v>0.63</v>
      </c>
      <c r="F18" s="54" t="s">
        <v>198</v>
      </c>
    </row>
    <row r="19" spans="1:6" ht="18" customHeight="1" x14ac:dyDescent="0.25">
      <c r="A19" s="53" t="s">
        <v>109</v>
      </c>
      <c r="B19" s="54" t="s">
        <v>63</v>
      </c>
      <c r="C19" s="55">
        <f>SUMIF(BOM!D:D,A19,BOM!B:B)</f>
        <v>1</v>
      </c>
      <c r="D19" s="7">
        <f>IFERROR(INDEX(BOM!I:I,MATCH(A19,BOM!D:D,0)),0)</f>
        <v>0.02</v>
      </c>
      <c r="E19" s="56">
        <f t="shared" si="0"/>
        <v>0.02</v>
      </c>
      <c r="F19" s="54" t="s">
        <v>108</v>
      </c>
    </row>
    <row r="20" spans="1:6" ht="18" customHeight="1" x14ac:dyDescent="0.25">
      <c r="A20" s="53" t="s">
        <v>113</v>
      </c>
      <c r="B20" s="54" t="s">
        <v>29</v>
      </c>
      <c r="C20" s="55">
        <f>SUMIF(BOM!D:D,A20,BOM!B:B)</f>
        <v>1</v>
      </c>
      <c r="D20" s="7">
        <f>IFERROR(INDEX(BOM!I:I,MATCH(A20,BOM!D:D,0)),0)</f>
        <v>0.04</v>
      </c>
      <c r="E20" s="56">
        <f t="shared" si="0"/>
        <v>0.04</v>
      </c>
      <c r="F20" s="54" t="s">
        <v>112</v>
      </c>
    </row>
    <row r="21" spans="1:6" ht="18" customHeight="1" x14ac:dyDescent="0.25">
      <c r="A21" s="53" t="s">
        <v>117</v>
      </c>
      <c r="B21" s="54" t="s">
        <v>16</v>
      </c>
      <c r="C21" s="55">
        <f>SUMIF(BOM!D:D,A21,BOM!B:B)</f>
        <v>1</v>
      </c>
      <c r="D21" s="7">
        <f>IFERROR(INDEX(BOM!I:I,MATCH(A21,BOM!D:D,0)),0)</f>
        <v>0.45</v>
      </c>
      <c r="E21" s="56">
        <f t="shared" si="0"/>
        <v>0.45</v>
      </c>
      <c r="F21" s="54" t="s">
        <v>116</v>
      </c>
    </row>
    <row r="22" spans="1:6" ht="18" customHeight="1" x14ac:dyDescent="0.25">
      <c r="A22" s="53" t="s">
        <v>122</v>
      </c>
      <c r="B22" s="54" t="s">
        <v>123</v>
      </c>
      <c r="C22" s="55">
        <f>SUMIF(BOM!D:D,A22,BOM!B:B)</f>
        <v>4</v>
      </c>
      <c r="D22" s="7">
        <f>IFERROR(INDEX(BOM!I:I,MATCH(A22,BOM!D:D,0)),0)</f>
        <v>2.27</v>
      </c>
      <c r="E22" s="56">
        <f t="shared" si="0"/>
        <v>9.08</v>
      </c>
      <c r="F22" s="54" t="s">
        <v>199</v>
      </c>
    </row>
    <row r="23" spans="1:6" ht="18" customHeight="1" x14ac:dyDescent="0.25">
      <c r="A23" s="53" t="s">
        <v>135</v>
      </c>
      <c r="B23" s="54" t="s">
        <v>16</v>
      </c>
      <c r="C23" s="55">
        <f>SUMIF(BOM!D:D,A23,BOM!B:B)</f>
        <v>8</v>
      </c>
      <c r="D23" s="7">
        <f>IFERROR(INDEX(BOM!I:I,MATCH(A23,BOM!D:D,0)),0)</f>
        <v>0.42</v>
      </c>
      <c r="E23" s="56">
        <f t="shared" si="0"/>
        <v>3.36</v>
      </c>
      <c r="F23" s="54" t="s">
        <v>134</v>
      </c>
    </row>
    <row r="24" spans="1:6" ht="18" customHeight="1" x14ac:dyDescent="0.25">
      <c r="A24" s="53" t="s">
        <v>141</v>
      </c>
      <c r="B24" s="54" t="s">
        <v>16</v>
      </c>
      <c r="C24" s="55">
        <f>SUMIF(BOM!D:D,A24,BOM!B:B)</f>
        <v>4</v>
      </c>
      <c r="D24" s="7">
        <f>IFERROR(INDEX(BOM!I:I,MATCH(A24,BOM!D:D,0)),0)</f>
        <v>0.38</v>
      </c>
      <c r="E24" s="56">
        <f t="shared" si="0"/>
        <v>1.52</v>
      </c>
      <c r="F24" s="54" t="s">
        <v>140</v>
      </c>
    </row>
    <row r="25" spans="1:6" ht="18" customHeight="1" x14ac:dyDescent="0.25">
      <c r="A25" s="53" t="s">
        <v>145</v>
      </c>
      <c r="B25" s="54" t="s">
        <v>146</v>
      </c>
      <c r="C25" s="55">
        <f>SUMIF(BOM!D:D,A25,BOM!B:B)</f>
        <v>4</v>
      </c>
      <c r="D25" s="7">
        <f>IFERROR(INDEX(BOM!I:I,MATCH(A25,BOM!D:D,0)),0)</f>
        <v>0.08</v>
      </c>
      <c r="E25" s="56">
        <f t="shared" si="0"/>
        <v>0.32</v>
      </c>
      <c r="F25" s="54" t="s">
        <v>144</v>
      </c>
    </row>
    <row r="26" spans="1:6" ht="18" customHeight="1" x14ac:dyDescent="0.25">
      <c r="A26" s="53" t="s">
        <v>151</v>
      </c>
      <c r="B26" s="54" t="s">
        <v>29</v>
      </c>
      <c r="C26" s="55">
        <f>SUMIF(BOM!D:D,A26,BOM!B:B)</f>
        <v>16</v>
      </c>
      <c r="D26" s="7">
        <f>IFERROR(INDEX(BOM!I:I,MATCH(A26,BOM!D:D,0)),0)</f>
        <v>0.04</v>
      </c>
      <c r="E26" s="56">
        <f t="shared" si="0"/>
        <v>0.64</v>
      </c>
      <c r="F26" s="54" t="s">
        <v>150</v>
      </c>
    </row>
    <row r="27" spans="1:6" ht="18" customHeight="1" x14ac:dyDescent="0.25">
      <c r="A27" s="53" t="s">
        <v>155</v>
      </c>
      <c r="B27" s="54" t="s">
        <v>63</v>
      </c>
      <c r="C27" s="55">
        <f>SUMIF(BOM!D:D,A27,BOM!B:B)</f>
        <v>4</v>
      </c>
      <c r="D27" s="7">
        <f>IFERROR(INDEX(BOM!I:I,MATCH(A27,BOM!D:D,0)),0)</f>
        <v>0.02</v>
      </c>
      <c r="E27" s="56">
        <f t="shared" si="0"/>
        <v>0.08</v>
      </c>
      <c r="F27" s="54" t="s">
        <v>154</v>
      </c>
    </row>
    <row r="28" spans="1:6" ht="18" customHeight="1" x14ac:dyDescent="0.25">
      <c r="A28" s="53" t="s">
        <v>158</v>
      </c>
      <c r="B28" s="54" t="s">
        <v>63</v>
      </c>
      <c r="C28" s="55">
        <f>SUMIF(BOM!D:D,A28,BOM!B:B)</f>
        <v>3</v>
      </c>
      <c r="D28" s="7">
        <f>IFERROR(INDEX(BOM!I:I,MATCH(A28,BOM!D:D,0)),0)</f>
        <v>0.02</v>
      </c>
      <c r="E28" s="56">
        <f t="shared" si="0"/>
        <v>0.06</v>
      </c>
      <c r="F28" s="54" t="s">
        <v>157</v>
      </c>
    </row>
    <row r="29" spans="1:6" ht="18" customHeight="1" x14ac:dyDescent="0.25">
      <c r="A29" s="53" t="s">
        <v>161</v>
      </c>
      <c r="B29" s="54" t="s">
        <v>29</v>
      </c>
      <c r="C29" s="55">
        <f>SUMIF(BOM!D:D,A29,BOM!B:B)</f>
        <v>4</v>
      </c>
      <c r="D29" s="7">
        <f>IFERROR(INDEX(BOM!I:I,MATCH(A29,BOM!D:D,0)),0)</f>
        <v>0.08</v>
      </c>
      <c r="E29" s="56">
        <f t="shared" si="0"/>
        <v>0.32</v>
      </c>
      <c r="F29" s="54" t="s">
        <v>160</v>
      </c>
    </row>
    <row r="30" spans="1:6" ht="18" customHeight="1" x14ac:dyDescent="0.25">
      <c r="A30" s="53" t="s">
        <v>165</v>
      </c>
      <c r="B30" s="54" t="s">
        <v>166</v>
      </c>
      <c r="C30" s="55">
        <f>SUMIF(BOM!D:D,A30,BOM!B:B)</f>
        <v>1</v>
      </c>
      <c r="D30" s="7">
        <f>IFERROR(INDEX(BOM!I:I,MATCH(A30,BOM!D:D,0)),0)</f>
        <v>0.85</v>
      </c>
      <c r="E30" s="56">
        <f t="shared" si="0"/>
        <v>0.85</v>
      </c>
      <c r="F30" s="54" t="s">
        <v>164</v>
      </c>
    </row>
    <row r="31" spans="1:6" ht="18" customHeight="1" x14ac:dyDescent="0.25">
      <c r="A31" s="53" t="s">
        <v>174</v>
      </c>
      <c r="B31" s="54" t="s">
        <v>29</v>
      </c>
      <c r="C31" s="55">
        <f>SUMIF(BOM!D:D,A31,BOM!B:B)</f>
        <v>24</v>
      </c>
      <c r="D31" s="7">
        <f>IFERROR(INDEX(BOM!I:I,MATCH(A31,BOM!D:D,0)),0)</f>
        <v>0.02</v>
      </c>
      <c r="E31" s="56">
        <f t="shared" si="0"/>
        <v>0.48</v>
      </c>
      <c r="F31" s="54" t="s">
        <v>173</v>
      </c>
    </row>
    <row r="32" spans="1:6" ht="18" customHeight="1" x14ac:dyDescent="0.25">
      <c r="A32" s="53" t="s">
        <v>177</v>
      </c>
      <c r="B32" s="54" t="s">
        <v>178</v>
      </c>
      <c r="C32" s="55">
        <f>SUMIF(BOM!D:D,A32,BOM!B:B)</f>
        <v>1</v>
      </c>
      <c r="D32" s="7">
        <f>IFERROR(INDEX(BOM!I:I,MATCH(A32,BOM!D:D,0)),0)</f>
        <v>18</v>
      </c>
      <c r="E32" s="56">
        <f t="shared" si="0"/>
        <v>18</v>
      </c>
      <c r="F32" s="54" t="s">
        <v>176</v>
      </c>
    </row>
    <row r="33" spans="1:6" ht="18" customHeight="1" x14ac:dyDescent="0.25">
      <c r="A33" s="53" t="s">
        <v>184</v>
      </c>
      <c r="B33" s="54" t="s">
        <v>185</v>
      </c>
      <c r="C33" s="55">
        <f>SUMIF(BOM!D:D,A33,BOM!B:B)</f>
        <v>4</v>
      </c>
      <c r="D33" s="7">
        <f>IFERROR(INDEX(BOM!I:I,MATCH(A33,BOM!D:D,0)),0)</f>
        <v>0.4</v>
      </c>
      <c r="E33" s="56">
        <f t="shared" si="0"/>
        <v>1.6</v>
      </c>
      <c r="F33" s="54" t="s">
        <v>183</v>
      </c>
    </row>
    <row r="34" spans="1:6" ht="15" customHeight="1" x14ac:dyDescent="0.25">
      <c r="D34" s="27" t="s">
        <v>200</v>
      </c>
      <c r="E34" s="29">
        <f>SUM(E4:E33)</f>
        <v>56.21</v>
      </c>
    </row>
    <row r="35" spans="1:6" ht="15" customHeight="1" x14ac:dyDescent="0.25">
      <c r="A35" s="57" t="s">
        <v>201</v>
      </c>
      <c r="E35" s="58">
        <f>E34-BOM!J46</f>
        <v>0</v>
      </c>
    </row>
  </sheetData>
  <mergeCells count="1">
    <mergeCell ref="A1:F1"/>
  </mergeCells>
  <phoneticPr fontId="10" type="noConversion"/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zoomScaleNormal="100" workbookViewId="0"/>
  </sheetViews>
  <sheetFormatPr defaultColWidth="8.7109375" defaultRowHeight="15" x14ac:dyDescent="0.25"/>
  <cols>
    <col min="1" max="1" width="22" customWidth="1"/>
    <col min="2" max="2" width="88" customWidth="1"/>
  </cols>
  <sheetData>
    <row r="1" spans="1:2" ht="19.5" customHeight="1" x14ac:dyDescent="0.35">
      <c r="A1" s="2" t="s">
        <v>202</v>
      </c>
      <c r="B1" s="2"/>
    </row>
    <row r="3" spans="1:2" ht="15" customHeight="1" x14ac:dyDescent="0.25">
      <c r="A3" s="59" t="s">
        <v>2</v>
      </c>
      <c r="B3" s="59" t="s">
        <v>203</v>
      </c>
    </row>
    <row r="4" spans="1:2" ht="21.75" customHeight="1" x14ac:dyDescent="0.25">
      <c r="A4" s="53" t="s">
        <v>204</v>
      </c>
      <c r="B4" s="54" t="s">
        <v>205</v>
      </c>
    </row>
    <row r="5" spans="1:2" ht="21.75" customHeight="1" x14ac:dyDescent="0.25">
      <c r="A5" s="53" t="s">
        <v>206</v>
      </c>
      <c r="B5" s="54" t="s">
        <v>207</v>
      </c>
    </row>
    <row r="6" spans="1:2" ht="21.75" customHeight="1" x14ac:dyDescent="0.25">
      <c r="A6" s="53" t="s">
        <v>208</v>
      </c>
      <c r="B6" s="54" t="s">
        <v>209</v>
      </c>
    </row>
    <row r="7" spans="1:2" ht="21.75" customHeight="1" x14ac:dyDescent="0.25">
      <c r="A7" s="53" t="s">
        <v>210</v>
      </c>
      <c r="B7" s="54" t="s">
        <v>211</v>
      </c>
    </row>
    <row r="8" spans="1:2" ht="21.75" customHeight="1" x14ac:dyDescent="0.25">
      <c r="A8" s="53" t="s">
        <v>212</v>
      </c>
      <c r="B8" s="54" t="s">
        <v>213</v>
      </c>
    </row>
    <row r="9" spans="1:2" ht="21.75" customHeight="1" x14ac:dyDescent="0.25">
      <c r="A9" s="53" t="s">
        <v>214</v>
      </c>
      <c r="B9" s="54" t="s">
        <v>215</v>
      </c>
    </row>
    <row r="10" spans="1:2" ht="21.75" customHeight="1" x14ac:dyDescent="0.25">
      <c r="A10" s="53" t="s">
        <v>216</v>
      </c>
      <c r="B10" s="54" t="s">
        <v>217</v>
      </c>
    </row>
    <row r="11" spans="1:2" ht="21.75" customHeight="1" x14ac:dyDescent="0.25">
      <c r="A11" s="53" t="s">
        <v>218</v>
      </c>
      <c r="B11" s="54" t="s">
        <v>219</v>
      </c>
    </row>
    <row r="12" spans="1:2" ht="21.75" customHeight="1" x14ac:dyDescent="0.25">
      <c r="A12" s="60" t="s">
        <v>220</v>
      </c>
      <c r="B12" s="61" t="s">
        <v>221</v>
      </c>
    </row>
    <row r="13" spans="1:2" ht="21.75" customHeight="1" x14ac:dyDescent="0.25">
      <c r="A13" s="60" t="s">
        <v>222</v>
      </c>
      <c r="B13" s="61" t="s">
        <v>223</v>
      </c>
    </row>
  </sheetData>
  <mergeCells count="1">
    <mergeCell ref="A1:B1"/>
  </mergeCells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BOM</vt:lpstr>
      <vt:lpstr>Buy_List</vt:lpstr>
      <vt:lpstr>Spec</vt:lpstr>
      <vt:lpstr>BOM!Print_Titles</vt:lpstr>
      <vt:lpstr>Buy_List!Print_Titles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Justin Lau</cp:lastModifiedBy>
  <cp:revision>2</cp:revision>
  <dcterms:created xsi:type="dcterms:W3CDTF">2026-09-21T17:53:30Z</dcterms:created>
  <dcterms:modified xsi:type="dcterms:W3CDTF">2026-09-22T19:33:06Z</dcterms:modified>
  <dc:language>en-US</dc:language>
</cp:coreProperties>
</file>