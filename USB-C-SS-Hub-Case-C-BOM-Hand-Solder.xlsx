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Buy_List" sheetId="2" state="visible" r:id="rId4"/>
    <sheet name="Spec" sheetId="3" state="visible" r:id="rId5"/>
  </sheets>
  <definedNames>
    <definedName function="false" hidden="false" localSheetId="0" name="_xlnm.Print_Titles" vbProcedure="false">BOM!$1:$4</definedName>
    <definedName function="false" hidden="true" localSheetId="0" name="_xlnm._FilterDatabase" vbProcedure="false">BOM!$A$4:$L$45</definedName>
    <definedName function="false" hidden="false" localSheetId="1" name="_xlnm.Print_Titles" vbProcedure="false">Buy_List!$1:$3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<sst xmlns="http://schemas.openxmlformats.org/spreadsheetml/2006/main" count="422" uniqueCount="224">
  <si>
    <t xml:space="preserve">Case C complete BOM  —  1 Type-C in + 3 Type-C out  |  SOT-23 LDO 3.3 V + SOT-23 buck 1.1 V</t>
  </si>
  <si>
    <t xml:space="preserve">No MCU. No barrel. Host 5 V only. Hand-solder converters: TLV75533PDBVR (5→3.3 SOT-23-5) + TLV62569PDDCR (5→1.1 SOT-23-6). Size 1.1 V for 0.70 A (563 mA typ 3×SS U0). USD qty-1 cut-tape ballpark. Yellow = inputs. Ext = Qty×Unit.</t>
  </si>
  <si>
    <t xml:space="preserve">Item</t>
  </si>
  <si>
    <t xml:space="preserve">Qty</t>
  </si>
  <si>
    <t xml:space="preserve">Ref des</t>
  </si>
  <si>
    <t xml:space="preserve">MPN</t>
  </si>
  <si>
    <t xml:space="preserve">Mfr</t>
  </si>
  <si>
    <t xml:space="preserve">Description</t>
  </si>
  <si>
    <t xml:space="preserve">Package</t>
  </si>
  <si>
    <t xml:space="preserve">Cat</t>
  </si>
  <si>
    <t xml:space="preserve">Unit USD</t>
  </si>
  <si>
    <t xml:space="preserve">Ext USD</t>
  </si>
  <si>
    <t xml:space="preserve">DNP</t>
  </si>
  <si>
    <t xml:space="preserve">Note</t>
  </si>
  <si>
    <t xml:space="preserve">U1</t>
  </si>
  <si>
    <t xml:space="preserve">TUSB8041ARGCR</t>
  </si>
  <si>
    <t xml:space="preserve">Texas Instruments</t>
  </si>
  <si>
    <t xml:space="preserve">4-port USB 3.1 Gen1 SuperSpeed hub</t>
  </si>
  <si>
    <t xml:space="preserve">VQFN-64</t>
  </si>
  <si>
    <t xml:space="preserve">DATA</t>
  </si>
  <si>
    <t xml:space="preserve">SDA/SCL floating. SMBUSz NC. GRSTz = 1 µF to GND, released after 3.3 V and 1.1 V up.</t>
  </si>
  <si>
    <t xml:space="preserve">Y1</t>
  </si>
  <si>
    <t xml:space="preserve">ABM8-24.000MHZ-B2-T</t>
  </si>
  <si>
    <t xml:space="preserve">Abracon</t>
  </si>
  <si>
    <t xml:space="preserve">24.000 MHz crystal ±20 ppm</t>
  </si>
  <si>
    <t xml:space="preserve">3.2×2.5</t>
  </si>
  <si>
    <t xml:space="preserve">Next to XI/XO. Away from L32.</t>
  </si>
  <si>
    <t xml:space="preserve">C_y</t>
  </si>
  <si>
    <t xml:space="preserve">GRM1555C1H120JA01D</t>
  </si>
  <si>
    <t xml:space="preserve">Murata</t>
  </si>
  <si>
    <t xml:space="preserve">12 pF C0G crystal load</t>
  </si>
  <si>
    <t xml:space="preserve">0402</t>
  </si>
  <si>
    <t xml:space="preserve">PASS</t>
  </si>
  <si>
    <t xml:space="preserve">Tune to crystal CL.</t>
  </si>
  <si>
    <t xml:space="preserve">U2</t>
  </si>
  <si>
    <t xml:space="preserve">HD3SS3220RNHR</t>
  </si>
  <si>
    <t xml:space="preserve">UP0 CC + 10 Gbps 2:1 SS mux, PORT=UFP</t>
  </si>
  <si>
    <t xml:space="preserve">WQFN-30</t>
  </si>
  <si>
    <t xml:space="preserve">CC</t>
  </si>
  <si>
    <t xml:space="preserve">PORT to GND. VBUS_DET 900 kΩ to J1 VBUS.</t>
  </si>
  <si>
    <t xml:space="preserve">U3</t>
  </si>
  <si>
    <t xml:space="preserve">DS1 CC + SS mux, PORT=DFP</t>
  </si>
  <si>
    <t xml:space="preserve">PORT to 5 V. CURRENT_MODE to 5 V = 3 A advert. ID → U6 EN.</t>
  </si>
  <si>
    <t xml:space="preserve">U4</t>
  </si>
  <si>
    <t xml:space="preserve">DS2 CC + SS mux, PORT=DFP</t>
  </si>
  <si>
    <t xml:space="preserve">ID → U7 EN.</t>
  </si>
  <si>
    <t xml:space="preserve">U5</t>
  </si>
  <si>
    <t xml:space="preserve">DS3 CC + SS mux, PORT=DFP</t>
  </si>
  <si>
    <t xml:space="preserve">ID → U8 EN.</t>
  </si>
  <si>
    <t xml:space="preserve">U6</t>
  </si>
  <si>
    <t xml:space="preserve">TPS2553DBVR</t>
  </si>
  <si>
    <t xml:space="preserve">DS1 VBUS switch ~1.0 A</t>
  </si>
  <si>
    <t xml:space="preserve">SOT-23-6</t>
  </si>
  <si>
    <t xml:space="preserve">POWER</t>
  </si>
  <si>
    <t xml:space="preserve">FAULT# → OVERCUR1z.</t>
  </si>
  <si>
    <t xml:space="preserve">U7</t>
  </si>
  <si>
    <t xml:space="preserve">DS2 VBUS switch ~1.0 A</t>
  </si>
  <si>
    <t xml:space="preserve">FAULT# → OVERCUR2z.</t>
  </si>
  <si>
    <t xml:space="preserve">U8</t>
  </si>
  <si>
    <t xml:space="preserve">DS3 VBUS switch ~1.0 A</t>
  </si>
  <si>
    <t xml:space="preserve">FAULT# → OVERCUR3z.</t>
  </si>
  <si>
    <t xml:space="preserve">Rilim</t>
  </si>
  <si>
    <t xml:space="preserve">RC0402FR-0724K9L</t>
  </si>
  <si>
    <t xml:space="preserve">Yageo</t>
  </si>
  <si>
    <t xml:space="preserve">24.9 kΩ 1% TPS2553 ILIM</t>
  </si>
  <si>
    <t xml:space="preserve">≈ 1.0 A. Do not leave ILIM open.</t>
  </si>
  <si>
    <t xml:space="preserve">U31</t>
  </si>
  <si>
    <t xml:space="preserve">TLV75533PDBVR</t>
  </si>
  <si>
    <t xml:space="preserve">SYS_5V → 3.3 V LDO 500 mA, hand-solder</t>
  </si>
  <si>
    <t xml:space="preserve">SOT-23-5</t>
  </si>
  <si>
    <t xml:space="preserve">Same TLV755P as WSON. Gull-wing SOT-23-5. EN to SYS_5V. Quiet rail for VDD33 + four VCC33. Load ≤ 0.20 A.</t>
  </si>
  <si>
    <t xml:space="preserve">C31i</t>
  </si>
  <si>
    <t xml:space="preserve">GRM188R70J106ME47D</t>
  </si>
  <si>
    <t xml:space="preserve">10 µF 6.3 V LDO VIN</t>
  </si>
  <si>
    <t xml:space="preserve">0603</t>
  </si>
  <si>
    <t xml:space="preserve">C31o</t>
  </si>
  <si>
    <t xml:space="preserve">GRM188R70J226ME47D</t>
  </si>
  <si>
    <t xml:space="preserve">22 µF 6.3 V LDO VOUT</t>
  </si>
  <si>
    <t xml:space="preserve">U32</t>
  </si>
  <si>
    <t xml:space="preserve">TLV62569PDDCR</t>
  </si>
  <si>
    <t xml:space="preserve">SYS_5V → 1.1 V buck 2 A 1.5 MHz, hand-solder</t>
  </si>
  <si>
    <t xml:space="preserve">Replaces TPS62822 VSON. PG pin gates GRSTz. Vin abs-max 5.5 V — PESD5V0 required. η ~85–90 % at 5→1.1 V / 0.7 A. Keep-out island opposite Type-C / Y1. Size Iout 0.70 A.</t>
  </si>
  <si>
    <t xml:space="preserve">L32</t>
  </si>
  <si>
    <t xml:space="preserve">XFL4015-102MEB</t>
  </si>
  <si>
    <t xml:space="preserve">Coilcraft</t>
  </si>
  <si>
    <t xml:space="preserve">1.0 µH shielded Isat ~5 A (TLV62569 @ 1.5 MHz)</t>
  </si>
  <si>
    <t xml:space="preserve">4×4 mm</t>
  </si>
  <si>
    <t xml:space="preserve">Not 470 nH — that value was for 2.2 MHz TPS62822. Start winding on SW. SW copper pad-sized only.</t>
  </si>
  <si>
    <t xml:space="preserve">C32i</t>
  </si>
  <si>
    <t xml:space="preserve">10 µF 6.3 V buck VIN at VIN/PGND</t>
  </si>
  <si>
    <t xml:space="preserve">First part next to U32 VIN/GND. SOT-23 still wants Cin touching the pins.</t>
  </si>
  <si>
    <t xml:space="preserve">C32o</t>
  </si>
  <si>
    <t xml:space="preserve">10 µF 6.3 V buck VOUT</t>
  </si>
  <si>
    <t xml:space="preserve">R32t</t>
  </si>
  <si>
    <t xml:space="preserve">RC0402FR-07124KL</t>
  </si>
  <si>
    <t xml:space="preserve">124 kΩ 1% FB top → 1.096 V</t>
  </si>
  <si>
    <t xml:space="preserve">Vout=0.6×(1+R1/R2).</t>
  </si>
  <si>
    <t xml:space="preserve">R32b</t>
  </si>
  <si>
    <t xml:space="preserve">RC0402FR-07150KL</t>
  </si>
  <si>
    <t xml:space="preserve">150 kΩ 1% FB bottom to AGND</t>
  </si>
  <si>
    <t xml:space="preserve">Place at U32, not at the hub.</t>
  </si>
  <si>
    <t xml:space="preserve">FB32</t>
  </si>
  <si>
    <t xml:space="preserve">BLM18PG300SN1D</t>
  </si>
  <si>
    <t xml:space="preserve">Ferrite 30 Ω@100 MHz DCR~40 mΩ on 1.1 V</t>
  </si>
  <si>
    <t xml:space="preserve">DCR &lt; 50 mΩ. Do not use a high-DCR EMI bead.</t>
  </si>
  <si>
    <t xml:space="preserve">C32h</t>
  </si>
  <si>
    <t xml:space="preserve">GRM155R70J106ME15D</t>
  </si>
  <si>
    <t xml:space="preserve">10 µF after ferrite on hub VDD island</t>
  </si>
  <si>
    <t xml:space="preserve">Rpg</t>
  </si>
  <si>
    <t xml:space="preserve">RC0402FR-07100KL</t>
  </si>
  <si>
    <t xml:space="preserve">100 kΩ PG pull-up to 3.3 V</t>
  </si>
  <si>
    <t xml:space="preserve">PG pull-up to 3.3 V on TLV62569P pin. Do not float if you use PG→GRSTz.</t>
  </si>
  <si>
    <t xml:space="preserve">Cgrst</t>
  </si>
  <si>
    <t xml:space="preserve">GRM155R71C105KA12D</t>
  </si>
  <si>
    <t xml:space="preserve">1 µF GRSTz to GND</t>
  </si>
  <si>
    <t xml:space="preserve">Hold reset until 3.3 V and 1.1 V are up.</t>
  </si>
  <si>
    <t xml:space="preserve">Q1</t>
  </si>
  <si>
    <t xml:space="preserve">CSD17313Q2</t>
  </si>
  <si>
    <t xml:space="preserve">N-FET reverse-block SYS_5V</t>
  </si>
  <si>
    <t xml:space="preserve">SON-6</t>
  </si>
  <si>
    <t xml:space="preserve">Optional. Gate from UP0 VBUS detect.</t>
  </si>
  <si>
    <t xml:space="preserve">J1</t>
  </si>
  <si>
    <t xml:space="preserve">124019572112A</t>
  </si>
  <si>
    <t xml:space="preserve">Amphenol ICC</t>
  </si>
  <si>
    <t xml:space="preserve">INPUT Type-C 24p mid-mount 5 A</t>
  </si>
  <si>
    <t xml:space="preserve">Mid-mount</t>
  </si>
  <si>
    <t xml:space="preserve">CONN</t>
  </si>
  <si>
    <t xml:space="preserve">UP0. Parallel all VBUS and all GND pins.</t>
  </si>
  <si>
    <t xml:space="preserve">J2</t>
  </si>
  <si>
    <t xml:space="preserve">OUTPUT DS1 Type-C 24p mid-mount 5 A</t>
  </si>
  <si>
    <t xml:space="preserve">J3</t>
  </si>
  <si>
    <t xml:space="preserve">OUTPUT DS2 Type-C 24p mid-mount 5 A</t>
  </si>
  <si>
    <t xml:space="preserve">J4</t>
  </si>
  <si>
    <t xml:space="preserve">OUTPUT DS3 Type-C 24p mid-mount 5 A</t>
  </si>
  <si>
    <t xml:space="preserve">Uesd_ss</t>
  </si>
  <si>
    <t xml:space="preserve">TPD2EUSB30DRTR</t>
  </si>
  <si>
    <t xml:space="preserve">2-ch low-C SS ESD (2 per Type-C)</t>
  </si>
  <si>
    <t xml:space="preserve">SOT-5</t>
  </si>
  <si>
    <t xml:space="preserve">PROT</t>
  </si>
  <si>
    <t xml:space="preserve">&lt;1 mm from connector pads.</t>
  </si>
  <si>
    <t xml:space="preserve">Uesd_cc</t>
  </si>
  <si>
    <t xml:space="preserve">TPD4E05U06DQAR</t>
  </si>
  <si>
    <t xml:space="preserve">4-ch ESD D+/D−/CC1/CC2</t>
  </si>
  <si>
    <t xml:space="preserve">USON-10</t>
  </si>
  <si>
    <t xml:space="preserve">Dtv</t>
  </si>
  <si>
    <t xml:space="preserve">PESD5V0S1UL</t>
  </si>
  <si>
    <t xml:space="preserve">Nexperia</t>
  </si>
  <si>
    <t xml:space="preserve">5 V TVS on each Type-C VBUS + clamp for 5.5 V-max buck</t>
  </si>
  <si>
    <t xml:space="preserve">SOD-323</t>
  </si>
  <si>
    <t xml:space="preserve">Required. TPS62822 abs-max is 5.5 V.</t>
  </si>
  <si>
    <t xml:space="preserve">Cac</t>
  </si>
  <si>
    <t xml:space="preserve">GCM155R71C104KA55D</t>
  </si>
  <si>
    <t xml:space="preserve">100 nF 16 V SS TX AC-cap</t>
  </si>
  <si>
    <t xml:space="preserve">4 per port. Follow HD3SS3220 side-of-mux.</t>
  </si>
  <si>
    <t xml:space="preserve">R900k</t>
  </si>
  <si>
    <t xml:space="preserve">RC0402FR-07900KL</t>
  </si>
  <si>
    <t xml:space="preserve">900 kΩ VBUS_DET</t>
  </si>
  <si>
    <t xml:space="preserve">R200k</t>
  </si>
  <si>
    <t xml:space="preserve">RC0402FR-07200KL</t>
  </si>
  <si>
    <t xml:space="preserve">200 kΩ pull-up on DS ID</t>
  </si>
  <si>
    <t xml:space="preserve">Cblk5</t>
  </si>
  <si>
    <t xml:space="preserve">GRM21BR61A226ME51L</t>
  </si>
  <si>
    <t xml:space="preserve">22 µF 10 V on each Type-C VBUS</t>
  </si>
  <si>
    <t xml:space="preserve">0805</t>
  </si>
  <si>
    <t xml:space="preserve">Cbulk</t>
  </si>
  <si>
    <t xml:space="preserve">16SVP180MX</t>
  </si>
  <si>
    <t xml:space="preserve">Panasonic</t>
  </si>
  <si>
    <t xml:space="preserve">180 µF 16 V OS-CON SYS_5V</t>
  </si>
  <si>
    <t xml:space="preserve">8 mm</t>
  </si>
  <si>
    <t xml:space="preserve">USB hub bulk ≥120 µF.</t>
  </si>
  <si>
    <t xml:space="preserve">C10u</t>
  </si>
  <si>
    <t xml:space="preserve">10 µF 6.3 V local decouple</t>
  </si>
  <si>
    <t xml:space="preserve">Under every QFN. Extra to island ceramics.</t>
  </si>
  <si>
    <t xml:space="preserve">C100n</t>
  </si>
  <si>
    <t xml:space="preserve">GRM155R71C104KA88D</t>
  </si>
  <si>
    <t xml:space="preserve">100 nF 16 V per power pin</t>
  </si>
  <si>
    <t xml:space="preserve">PCB</t>
  </si>
  <si>
    <t xml:space="preserve">JLC04161H-7628 ENIG + stencil</t>
  </si>
  <si>
    <t xml:space="preserve">JLCPCB</t>
  </si>
  <si>
    <t xml:space="preserve">4-layer 1.6 mm, 90 Ω coupon, ~80×50 mm</t>
  </si>
  <si>
    <t xml:space="preserve">4-layer</t>
  </si>
  <si>
    <t xml:space="preserve">MECH</t>
  </si>
  <si>
    <t xml:space="preserve">Sig-GND-PWR-Sig. Buck island opposite Type-C edge.</t>
  </si>
  <si>
    <t xml:space="preserve">MH</t>
  </si>
  <si>
    <t xml:space="preserve">R30-1000402</t>
  </si>
  <si>
    <t xml:space="preserve">Harwin</t>
  </si>
  <si>
    <t xml:space="preserve">M3 standoff + screw</t>
  </si>
  <si>
    <t xml:space="preserve">M3</t>
  </si>
  <si>
    <t xml:space="preserve">BOARD TOTAL</t>
  </si>
  <si>
    <t xml:space="preserve">By category</t>
  </si>
  <si>
    <t xml:space="preserve">Category</t>
  </si>
  <si>
    <t xml:space="preserve">Share</t>
  </si>
  <si>
    <t xml:space="preserve">Case C buy list — one row per MPN</t>
  </si>
  <si>
    <t xml:space="preserve">Total qty</t>
  </si>
  <si>
    <t xml:space="preserve">Used on</t>
  </si>
  <si>
    <t xml:space="preserve">U2, U3, U4, U5</t>
  </si>
  <si>
    <t xml:space="preserve">U6, U7, U8</t>
  </si>
  <si>
    <t xml:space="preserve">C31i, C32i, C32o</t>
  </si>
  <si>
    <t xml:space="preserve">C32h, C10u</t>
  </si>
  <si>
    <t xml:space="preserve">J1, J2, J3, J4</t>
  </si>
  <si>
    <t xml:space="preserve">BUY TOTAL</t>
  </si>
  <si>
    <t xml:space="preserve">Must match BOM board total</t>
  </si>
  <si>
    <t xml:space="preserve">Case C locked spec</t>
  </si>
  <si>
    <t xml:space="preserve">Value</t>
  </si>
  <si>
    <t xml:space="preserve">Ports</t>
  </si>
  <si>
    <t xml:space="preserve">J1 Type-C UFP input + J2 J3 J4 Type-C DFP output. No barrel. No MCU.</t>
  </si>
  <si>
    <t xml:space="preserve">Data</t>
  </si>
  <si>
    <t xml:space="preserve">USB 3.2 Gen1 5 Gbps via TUSB8041A + 4× HD3SS3220</t>
  </si>
  <si>
    <t xml:space="preserve">Power in</t>
  </si>
  <si>
    <t xml:space="preserve">Host J1 VBUS 5 V only (7.5–15 W typical)</t>
  </si>
  <si>
    <t xml:space="preserve">Power out each DS</t>
  </si>
  <si>
    <t xml:space="preserve">5 V, TPS2553 ILIM ≈ 1.0 A. Three ports share leftover host watts.</t>
  </si>
  <si>
    <t xml:space="preserve">3.3 V</t>
  </si>
  <si>
    <t xml:space="preserve">TLV75533PDBVR LDO SOT-23-5, load ≤ 0.20 A</t>
  </si>
  <si>
    <t xml:space="preserve">1.1 V</t>
  </si>
  <si>
    <t xml:space="preserve">TLV62569PDDCR buck SOT-23-6, size 0.70 A (563 mA typ 3× SS U0)</t>
  </si>
  <si>
    <t xml:space="preserve">Heat converters</t>
  </si>
  <si>
    <t xml:space="preserve">~0.45–0.50 W worst case (LDO 0.34 W + buck ~0.12 W)</t>
  </si>
  <si>
    <t xml:space="preserve">Layout</t>
  </si>
  <si>
    <t xml:space="preserve">L32 1 µH + U32 opposite Type-C edge. Not under SS pairs or Y1.</t>
  </si>
  <si>
    <t xml:space="preserve">Hand solder</t>
  </si>
  <si>
    <t xml:space="preserve">Both converters are SOT-23 gull-wing. Iron + flux. No hot-bar required.</t>
  </si>
  <si>
    <t xml:space="preserve">Was / now</t>
  </si>
  <si>
    <t xml:space="preserve">Was WSON TLV75533PDRVR + VSON TPS62822 + 470 nH. Now SOT-23 + 1 µH.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</si>
</sst>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.0%"/>
    <numFmt numFmtId="167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1A1A1A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0"/>
      <color rgb="FF1B365D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3"/>
      <color rgb="FF1B365D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9"/>
      <name val="Calibri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B365D"/>
        <bgColor rgb="FF243E73"/>
      </patternFill>
    </fill>
    <fill>
      <patternFill patternType="solid">
        <fgColor rgb="FF243E73"/>
        <bgColor rgb="FF1B365D"/>
      </patternFill>
    </fill>
    <fill>
      <patternFill patternType="solid">
        <fgColor rgb="FFD6E4F0"/>
        <bgColor rgb="FFE4E4E4"/>
      </patternFill>
    </fill>
    <fill>
      <patternFill patternType="solid">
        <fgColor rgb="FFFFF3CD"/>
        <bgColor rgb="FFF8E6D3"/>
      </patternFill>
    </fill>
    <fill>
      <patternFill patternType="solid">
        <fgColor rgb="FFEEEFE8"/>
        <bgColor rgb="FFE5F4EA"/>
      </patternFill>
    </fill>
    <fill>
      <patternFill patternType="solid">
        <fgColor rgb="FFDCEFE8"/>
        <bgColor rgb="FFE5F4EA"/>
      </patternFill>
    </fill>
    <fill>
      <patternFill patternType="solid">
        <fgColor rgb="FFF8E6D3"/>
        <bgColor rgb="FFFFF3CD"/>
      </patternFill>
    </fill>
    <fill>
      <patternFill patternType="solid">
        <fgColor rgb="FFE8E0F0"/>
        <bgColor rgb="FFE4E4E4"/>
      </patternFill>
    </fill>
    <fill>
      <patternFill patternType="solid">
        <fgColor rgb="FFF3D6D6"/>
        <bgColor rgb="FFF8E6D3"/>
      </patternFill>
    </fill>
    <fill>
      <patternFill patternType="solid">
        <fgColor rgb="FFE4E4E4"/>
        <bgColor rgb="FFE8E0F0"/>
      </patternFill>
    </fill>
    <fill>
      <patternFill patternType="solid">
        <fgColor rgb="FF0D7377"/>
        <bgColor rgb="FF008080"/>
      </patternFill>
    </fill>
    <fill>
      <patternFill patternType="solid">
        <fgColor rgb="FFE5F4EA"/>
        <bgColor rgb="FFDCEF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5CAD3"/>
      </left>
      <right style="thin">
        <color rgb="FFC5CAD3"/>
      </right>
      <top style="thin">
        <color rgb="FFC5CAD3"/>
      </top>
      <bottom style="thin">
        <color rgb="FFC5CA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1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B365D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DCEFE8"/>
          <bgColor rgb="FF000000"/>
        </patternFill>
      </fill>
    </dxf>
    <dxf>
      <fill>
        <patternFill patternType="solid">
          <fgColor rgb="FFE4E4E4"/>
          <bgColor rgb="FF000000"/>
        </patternFill>
      </fill>
    </dxf>
    <dxf>
      <fill>
        <patternFill patternType="solid">
          <fgColor rgb="FFE8E0F0"/>
          <bgColor rgb="FF000000"/>
        </patternFill>
      </fill>
    </dxf>
    <dxf>
      <fill>
        <patternFill patternType="solid">
          <fgColor rgb="FFEEEFE8"/>
          <bgColor rgb="FF000000"/>
        </patternFill>
      </fill>
    </dxf>
    <dxf>
      <fill>
        <patternFill patternType="solid">
          <fgColor rgb="FFF3D6D6"/>
          <bgColor rgb="FF000000"/>
        </patternFill>
      </fill>
    </dxf>
    <dxf>
      <fill>
        <patternFill patternType="solid">
          <fgColor rgb="FFF8E6D3"/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7377"/>
      <rgbColor rgb="FFC5CAD3"/>
      <rgbColor rgb="FF4F81BD"/>
      <rgbColor rgb="FF93A9CE"/>
      <rgbColor rgb="FFAB4744"/>
      <rgbColor rgb="FFFFF3CD"/>
      <rgbColor rgb="FFDCEFE8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F4EA"/>
      <rgbColor rgb="FFEEEFE8"/>
      <rgbColor rgb="FFF8E6D3"/>
      <rgbColor rgb="FFD6E4F0"/>
      <rgbColor rgb="FFE4E4E4"/>
      <rgbColor rgb="FFE8E0F0"/>
      <rgbColor rgb="FFF3D6D6"/>
      <rgbColor rgb="FF4672A8"/>
      <rgbColor rgb="FF33CCCC"/>
      <rgbColor rgb="FF99CC00"/>
      <rgbColor rgb="FFFFCC00"/>
      <rgbColor rgb="FFFF9900"/>
      <rgbColor rgb="FFFF6600"/>
      <rgbColor rgb="FF725990"/>
      <rgbColor rgb="FF8AA64F"/>
      <rgbColor rgb="FF1B365D"/>
      <rgbColor rgb="FF4299B0"/>
      <rgbColor rgb="FF003300"/>
      <rgbColor rgb="FF333300"/>
      <rgbColor rgb="FF993300"/>
      <rgbColor rgb="FF993366"/>
      <rgbColor rgb="FF243E73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Case C $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BOM!B49</c:f>
              <c:strCache>
                <c:ptCount val="1"/>
                <c:pt idx="0">
                  <c:v>Ext USD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eparator>
</c:separator>
            <c:showLeaderLines val="1"/>
          </c:dLbls>
          <c:cat>
            <c:strRef>
              <c:f>BOM!$A$50:$A$56</c:f>
              <c:strCache>
                <c:ptCount val="7"/>
                <c:pt idx="0">
                  <c:v>DATA</c:v>
                </c:pt>
                <c:pt idx="1">
                  <c:v>CC</c:v>
                </c:pt>
                <c:pt idx="2">
                  <c:v>POWER</c:v>
                </c:pt>
                <c:pt idx="3">
                  <c:v>PROT</c:v>
                </c:pt>
                <c:pt idx="4">
                  <c:v>CONN</c:v>
                </c:pt>
                <c:pt idx="5">
                  <c:v>PASS</c:v>
                </c:pt>
                <c:pt idx="6">
                  <c:v>MECH</c:v>
                </c:pt>
              </c:strCache>
            </c:strRef>
          </c:cat>
          <c:val>
            <c:numRef>
              <c:f>BOM!$B$50:$B$56</c:f>
              <c:numCache>
                <c:formatCode>\$#,##0.00</c:formatCode>
                <c:ptCount val="7"/>
                <c:pt idx="0">
                  <c:v>5.95</c:v>
                </c:pt>
                <c:pt idx="1">
                  <c:v>7.4</c:v>
                </c:pt>
                <c:pt idx="2">
                  <c:v>5.13</c:v>
                </c:pt>
                <c:pt idx="3">
                  <c:v>5.2</c:v>
                </c:pt>
                <c:pt idx="4">
                  <c:v>9.08</c:v>
                </c:pt>
                <c:pt idx="5">
                  <c:v>3.85</c:v>
                </c:pt>
                <c:pt idx="6">
                  <c:v>19.6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47</xdr:row>
      <xdr:rowOff>0</xdr:rowOff>
    </xdr:from>
    <xdr:to>
      <xdr:col>5</xdr:col>
      <xdr:colOff>2909520</xdr:colOff>
      <xdr:row>61</xdr:row>
      <xdr:rowOff>85320</xdr:rowOff>
    </xdr:to>
    <xdr:graphicFrame>
      <xdr:nvGraphicFramePr>
        <xdr:cNvPr id="0" name="Chart 1"/>
        <xdr:cNvGraphicFramePr/>
      </xdr:nvGraphicFramePr>
      <xdr:xfrm>
        <a:off x="3665160" y="14716080"/>
        <a:ext cx="4319280" cy="2866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6"/>
    <col collapsed="false" customWidth="true" hidden="false" outlineLevel="0" max="3" min="3" style="1" width="12"/>
    <col collapsed="false" customWidth="true" hidden="false" outlineLevel="0" max="4" min="4" style="1" width="28"/>
    <col collapsed="false" customWidth="true" hidden="false" outlineLevel="0" max="5" min="5" style="1" width="20"/>
    <col collapsed="false" customWidth="true" hidden="false" outlineLevel="0" max="6" min="6" style="1" width="52"/>
    <col collapsed="false" customWidth="true" hidden="false" outlineLevel="0" max="7" min="7" style="1" width="14"/>
    <col collapsed="false" customWidth="true" hidden="false" outlineLevel="0" max="8" min="8" style="1" width="10"/>
    <col collapsed="false" customWidth="true" hidden="false" outlineLevel="0" max="10" min="9" style="1" width="12"/>
    <col collapsed="false" customWidth="true" hidden="false" outlineLevel="0" max="11" min="11" style="1" width="8"/>
    <col collapsed="false" customWidth="true" hidden="false" outlineLevel="0" max="12" min="12" style="1" width="55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</row>
    <row r="5" customFormat="false" ht="25.5" hidden="false" customHeight="true" outlineLevel="0" collapsed="false">
      <c r="A5" s="5" t="n">
        <v>1</v>
      </c>
      <c r="B5" s="6" t="n">
        <v>1</v>
      </c>
      <c r="C5" s="5" t="s">
        <v>14</v>
      </c>
      <c r="D5" s="7" t="s">
        <v>15</v>
      </c>
      <c r="E5" s="5" t="s">
        <v>16</v>
      </c>
      <c r="F5" s="5" t="s">
        <v>17</v>
      </c>
      <c r="G5" s="5" t="s">
        <v>18</v>
      </c>
      <c r="H5" s="5" t="s">
        <v>19</v>
      </c>
      <c r="I5" s="8" t="n">
        <v>5.4</v>
      </c>
      <c r="J5" s="9" t="n">
        <f aca="false">B5*I5</f>
        <v>5.4</v>
      </c>
      <c r="K5" s="5"/>
      <c r="L5" s="5" t="s">
        <v>20</v>
      </c>
    </row>
    <row r="6" customFormat="false" ht="25.5" hidden="false" customHeight="true" outlineLevel="0" collapsed="false">
      <c r="A6" s="5" t="n">
        <v>2</v>
      </c>
      <c r="B6" s="6" t="n">
        <v>1</v>
      </c>
      <c r="C6" s="5" t="s">
        <v>21</v>
      </c>
      <c r="D6" s="7" t="s">
        <v>22</v>
      </c>
      <c r="E6" s="5" t="s">
        <v>23</v>
      </c>
      <c r="F6" s="5" t="s">
        <v>24</v>
      </c>
      <c r="G6" s="5" t="s">
        <v>25</v>
      </c>
      <c r="H6" s="5" t="s">
        <v>19</v>
      </c>
      <c r="I6" s="8" t="n">
        <v>0.55</v>
      </c>
      <c r="J6" s="9" t="n">
        <f aca="false">B6*I6</f>
        <v>0.55</v>
      </c>
      <c r="K6" s="5"/>
      <c r="L6" s="5" t="s">
        <v>26</v>
      </c>
    </row>
    <row r="7" customFormat="false" ht="25.5" hidden="false" customHeight="true" outlineLevel="0" collapsed="false">
      <c r="A7" s="10" t="n">
        <v>3</v>
      </c>
      <c r="B7" s="6" t="n">
        <v>2</v>
      </c>
      <c r="C7" s="10" t="s">
        <v>27</v>
      </c>
      <c r="D7" s="11" t="s">
        <v>28</v>
      </c>
      <c r="E7" s="10" t="s">
        <v>29</v>
      </c>
      <c r="F7" s="10" t="s">
        <v>30</v>
      </c>
      <c r="G7" s="10" t="s">
        <v>31</v>
      </c>
      <c r="H7" s="10" t="s">
        <v>32</v>
      </c>
      <c r="I7" s="8" t="n">
        <v>0.03</v>
      </c>
      <c r="J7" s="12" t="n">
        <f aca="false">B7*I7</f>
        <v>0.06</v>
      </c>
      <c r="K7" s="10"/>
      <c r="L7" s="10" t="s">
        <v>33</v>
      </c>
    </row>
    <row r="8" customFormat="false" ht="25.5" hidden="false" customHeight="true" outlineLevel="0" collapsed="false">
      <c r="A8" s="13" t="n">
        <v>4</v>
      </c>
      <c r="B8" s="6" t="n">
        <v>1</v>
      </c>
      <c r="C8" s="13" t="s">
        <v>34</v>
      </c>
      <c r="D8" s="14" t="s">
        <v>35</v>
      </c>
      <c r="E8" s="13" t="s">
        <v>16</v>
      </c>
      <c r="F8" s="13" t="s">
        <v>36</v>
      </c>
      <c r="G8" s="13" t="s">
        <v>37</v>
      </c>
      <c r="H8" s="13" t="s">
        <v>38</v>
      </c>
      <c r="I8" s="8" t="n">
        <v>1.85</v>
      </c>
      <c r="J8" s="15" t="n">
        <f aca="false">B8*I8</f>
        <v>1.85</v>
      </c>
      <c r="K8" s="13"/>
      <c r="L8" s="13" t="s">
        <v>39</v>
      </c>
    </row>
    <row r="9" customFormat="false" ht="25.5" hidden="false" customHeight="true" outlineLevel="0" collapsed="false">
      <c r="A9" s="13" t="n">
        <v>5</v>
      </c>
      <c r="B9" s="6" t="n">
        <v>1</v>
      </c>
      <c r="C9" s="13" t="s">
        <v>40</v>
      </c>
      <c r="D9" s="14" t="s">
        <v>35</v>
      </c>
      <c r="E9" s="13" t="s">
        <v>16</v>
      </c>
      <c r="F9" s="13" t="s">
        <v>41</v>
      </c>
      <c r="G9" s="13" t="s">
        <v>37</v>
      </c>
      <c r="H9" s="13" t="s">
        <v>38</v>
      </c>
      <c r="I9" s="8" t="n">
        <v>1.85</v>
      </c>
      <c r="J9" s="15" t="n">
        <f aca="false">B9*I9</f>
        <v>1.85</v>
      </c>
      <c r="K9" s="13"/>
      <c r="L9" s="13" t="s">
        <v>42</v>
      </c>
    </row>
    <row r="10" customFormat="false" ht="25.5" hidden="false" customHeight="true" outlineLevel="0" collapsed="false">
      <c r="A10" s="13" t="n">
        <v>6</v>
      </c>
      <c r="B10" s="6" t="n">
        <v>1</v>
      </c>
      <c r="C10" s="13" t="s">
        <v>43</v>
      </c>
      <c r="D10" s="14" t="s">
        <v>35</v>
      </c>
      <c r="E10" s="13" t="s">
        <v>16</v>
      </c>
      <c r="F10" s="13" t="s">
        <v>44</v>
      </c>
      <c r="G10" s="13" t="s">
        <v>37</v>
      </c>
      <c r="H10" s="13" t="s">
        <v>38</v>
      </c>
      <c r="I10" s="8" t="n">
        <v>1.85</v>
      </c>
      <c r="J10" s="15" t="n">
        <f aca="false">B10*I10</f>
        <v>1.85</v>
      </c>
      <c r="K10" s="13"/>
      <c r="L10" s="13" t="s">
        <v>45</v>
      </c>
    </row>
    <row r="11" customFormat="false" ht="25.5" hidden="false" customHeight="true" outlineLevel="0" collapsed="false">
      <c r="A11" s="13" t="n">
        <v>7</v>
      </c>
      <c r="B11" s="6" t="n">
        <v>1</v>
      </c>
      <c r="C11" s="13" t="s">
        <v>46</v>
      </c>
      <c r="D11" s="14" t="s">
        <v>35</v>
      </c>
      <c r="E11" s="13" t="s">
        <v>16</v>
      </c>
      <c r="F11" s="13" t="s">
        <v>47</v>
      </c>
      <c r="G11" s="13" t="s">
        <v>37</v>
      </c>
      <c r="H11" s="13" t="s">
        <v>38</v>
      </c>
      <c r="I11" s="8" t="n">
        <v>1.85</v>
      </c>
      <c r="J11" s="15" t="n">
        <f aca="false">B11*I11</f>
        <v>1.85</v>
      </c>
      <c r="K11" s="13"/>
      <c r="L11" s="13" t="s">
        <v>48</v>
      </c>
    </row>
    <row r="12" customFormat="false" ht="25.5" hidden="false" customHeight="true" outlineLevel="0" collapsed="false">
      <c r="A12" s="16" t="n">
        <v>8</v>
      </c>
      <c r="B12" s="6" t="n">
        <v>1</v>
      </c>
      <c r="C12" s="16" t="s">
        <v>49</v>
      </c>
      <c r="D12" s="17" t="s">
        <v>50</v>
      </c>
      <c r="E12" s="16" t="s">
        <v>16</v>
      </c>
      <c r="F12" s="16" t="s">
        <v>51</v>
      </c>
      <c r="G12" s="16" t="s">
        <v>52</v>
      </c>
      <c r="H12" s="16" t="s">
        <v>53</v>
      </c>
      <c r="I12" s="8" t="n">
        <v>0.85</v>
      </c>
      <c r="J12" s="18" t="n">
        <f aca="false">B12*I12</f>
        <v>0.85</v>
      </c>
      <c r="K12" s="16"/>
      <c r="L12" s="16" t="s">
        <v>54</v>
      </c>
    </row>
    <row r="13" customFormat="false" ht="25.5" hidden="false" customHeight="true" outlineLevel="0" collapsed="false">
      <c r="A13" s="16" t="n">
        <v>9</v>
      </c>
      <c r="B13" s="6" t="n">
        <v>1</v>
      </c>
      <c r="C13" s="16" t="s">
        <v>55</v>
      </c>
      <c r="D13" s="17" t="s">
        <v>50</v>
      </c>
      <c r="E13" s="16" t="s">
        <v>16</v>
      </c>
      <c r="F13" s="16" t="s">
        <v>56</v>
      </c>
      <c r="G13" s="16" t="s">
        <v>52</v>
      </c>
      <c r="H13" s="16" t="s">
        <v>53</v>
      </c>
      <c r="I13" s="8" t="n">
        <v>0.85</v>
      </c>
      <c r="J13" s="18" t="n">
        <f aca="false">B13*I13</f>
        <v>0.85</v>
      </c>
      <c r="K13" s="16"/>
      <c r="L13" s="16" t="s">
        <v>57</v>
      </c>
    </row>
    <row r="14" customFormat="false" ht="25.5" hidden="false" customHeight="true" outlineLevel="0" collapsed="false">
      <c r="A14" s="16" t="n">
        <v>10</v>
      </c>
      <c r="B14" s="6" t="n">
        <v>1</v>
      </c>
      <c r="C14" s="16" t="s">
        <v>58</v>
      </c>
      <c r="D14" s="17" t="s">
        <v>50</v>
      </c>
      <c r="E14" s="16" t="s">
        <v>16</v>
      </c>
      <c r="F14" s="16" t="s">
        <v>59</v>
      </c>
      <c r="G14" s="16" t="s">
        <v>52</v>
      </c>
      <c r="H14" s="16" t="s">
        <v>53</v>
      </c>
      <c r="I14" s="8" t="n">
        <v>0.85</v>
      </c>
      <c r="J14" s="18" t="n">
        <f aca="false">B14*I14</f>
        <v>0.85</v>
      </c>
      <c r="K14" s="16"/>
      <c r="L14" s="16" t="s">
        <v>60</v>
      </c>
    </row>
    <row r="15" customFormat="false" ht="25.5" hidden="false" customHeight="true" outlineLevel="0" collapsed="false">
      <c r="A15" s="10" t="n">
        <v>11</v>
      </c>
      <c r="B15" s="6" t="n">
        <v>3</v>
      </c>
      <c r="C15" s="10" t="s">
        <v>61</v>
      </c>
      <c r="D15" s="11" t="s">
        <v>62</v>
      </c>
      <c r="E15" s="10" t="s">
        <v>63</v>
      </c>
      <c r="F15" s="10" t="s">
        <v>64</v>
      </c>
      <c r="G15" s="10" t="s">
        <v>31</v>
      </c>
      <c r="H15" s="10" t="s">
        <v>32</v>
      </c>
      <c r="I15" s="8" t="n">
        <v>0.03</v>
      </c>
      <c r="J15" s="12" t="n">
        <f aca="false">B15*I15</f>
        <v>0.09</v>
      </c>
      <c r="K15" s="10"/>
      <c r="L15" s="10" t="s">
        <v>65</v>
      </c>
    </row>
    <row r="16" customFormat="false" ht="25.5" hidden="false" customHeight="true" outlineLevel="0" collapsed="false">
      <c r="A16" s="16" t="n">
        <v>12</v>
      </c>
      <c r="B16" s="6" t="n">
        <v>1</v>
      </c>
      <c r="C16" s="16" t="s">
        <v>66</v>
      </c>
      <c r="D16" s="17" t="s">
        <v>67</v>
      </c>
      <c r="E16" s="16" t="s">
        <v>16</v>
      </c>
      <c r="F16" s="16" t="s">
        <v>68</v>
      </c>
      <c r="G16" s="16" t="s">
        <v>69</v>
      </c>
      <c r="H16" s="16" t="s">
        <v>53</v>
      </c>
      <c r="I16" s="8" t="n">
        <v>0.36</v>
      </c>
      <c r="J16" s="18" t="n">
        <f aca="false">B16*I16</f>
        <v>0.36</v>
      </c>
      <c r="K16" s="16"/>
      <c r="L16" s="16" t="s">
        <v>70</v>
      </c>
    </row>
    <row r="17" customFormat="false" ht="25.5" hidden="false" customHeight="true" outlineLevel="0" collapsed="false">
      <c r="A17" s="10" t="n">
        <v>13</v>
      </c>
      <c r="B17" s="6" t="n">
        <v>1</v>
      </c>
      <c r="C17" s="10" t="s">
        <v>71</v>
      </c>
      <c r="D17" s="11" t="s">
        <v>72</v>
      </c>
      <c r="E17" s="10" t="s">
        <v>29</v>
      </c>
      <c r="F17" s="10" t="s">
        <v>73</v>
      </c>
      <c r="G17" s="10" t="s">
        <v>74</v>
      </c>
      <c r="H17" s="10" t="s">
        <v>32</v>
      </c>
      <c r="I17" s="8" t="n">
        <v>0.08</v>
      </c>
      <c r="J17" s="12" t="n">
        <f aca="false">B17*I17</f>
        <v>0.08</v>
      </c>
      <c r="K17" s="10"/>
      <c r="L17" s="10"/>
    </row>
    <row r="18" customFormat="false" ht="25.5" hidden="false" customHeight="true" outlineLevel="0" collapsed="false">
      <c r="A18" s="10" t="n">
        <v>14</v>
      </c>
      <c r="B18" s="6" t="n">
        <v>1</v>
      </c>
      <c r="C18" s="10" t="s">
        <v>75</v>
      </c>
      <c r="D18" s="11" t="s">
        <v>76</v>
      </c>
      <c r="E18" s="10" t="s">
        <v>29</v>
      </c>
      <c r="F18" s="10" t="s">
        <v>77</v>
      </c>
      <c r="G18" s="10" t="s">
        <v>74</v>
      </c>
      <c r="H18" s="10" t="s">
        <v>32</v>
      </c>
      <c r="I18" s="8" t="n">
        <v>0.12</v>
      </c>
      <c r="J18" s="12" t="n">
        <f aca="false">B18*I18</f>
        <v>0.12</v>
      </c>
      <c r="K18" s="10"/>
      <c r="L18" s="10"/>
    </row>
    <row r="19" customFormat="false" ht="25.5" hidden="false" customHeight="true" outlineLevel="0" collapsed="false">
      <c r="A19" s="16" t="n">
        <v>15</v>
      </c>
      <c r="B19" s="6" t="n">
        <v>1</v>
      </c>
      <c r="C19" s="16" t="s">
        <v>78</v>
      </c>
      <c r="D19" s="17" t="s">
        <v>79</v>
      </c>
      <c r="E19" s="16" t="s">
        <v>16</v>
      </c>
      <c r="F19" s="16" t="s">
        <v>80</v>
      </c>
      <c r="G19" s="16" t="s">
        <v>52</v>
      </c>
      <c r="H19" s="16" t="s">
        <v>53</v>
      </c>
      <c r="I19" s="8" t="n">
        <v>0.62</v>
      </c>
      <c r="J19" s="18" t="n">
        <f aca="false">B19*I19</f>
        <v>0.62</v>
      </c>
      <c r="K19" s="16"/>
      <c r="L19" s="16" t="s">
        <v>81</v>
      </c>
    </row>
    <row r="20" customFormat="false" ht="25.5" hidden="false" customHeight="true" outlineLevel="0" collapsed="false">
      <c r="A20" s="16" t="n">
        <v>16</v>
      </c>
      <c r="B20" s="6" t="n">
        <v>1</v>
      </c>
      <c r="C20" s="16" t="s">
        <v>82</v>
      </c>
      <c r="D20" s="17" t="s">
        <v>83</v>
      </c>
      <c r="E20" s="16" t="s">
        <v>84</v>
      </c>
      <c r="F20" s="16" t="s">
        <v>85</v>
      </c>
      <c r="G20" s="16" t="s">
        <v>86</v>
      </c>
      <c r="H20" s="16" t="s">
        <v>53</v>
      </c>
      <c r="I20" s="8" t="n">
        <v>1.15</v>
      </c>
      <c r="J20" s="18" t="n">
        <f aca="false">B20*I20</f>
        <v>1.15</v>
      </c>
      <c r="K20" s="16"/>
      <c r="L20" s="16" t="s">
        <v>87</v>
      </c>
    </row>
    <row r="21" customFormat="false" ht="25.5" hidden="false" customHeight="true" outlineLevel="0" collapsed="false">
      <c r="A21" s="10" t="n">
        <v>17</v>
      </c>
      <c r="B21" s="6" t="n">
        <v>1</v>
      </c>
      <c r="C21" s="10" t="s">
        <v>88</v>
      </c>
      <c r="D21" s="11" t="s">
        <v>72</v>
      </c>
      <c r="E21" s="10" t="s">
        <v>29</v>
      </c>
      <c r="F21" s="10" t="s">
        <v>89</v>
      </c>
      <c r="G21" s="10" t="s">
        <v>74</v>
      </c>
      <c r="H21" s="10" t="s">
        <v>32</v>
      </c>
      <c r="I21" s="8" t="n">
        <v>0.08</v>
      </c>
      <c r="J21" s="12" t="n">
        <f aca="false">B21*I21</f>
        <v>0.08</v>
      </c>
      <c r="K21" s="10"/>
      <c r="L21" s="10" t="s">
        <v>90</v>
      </c>
    </row>
    <row r="22" customFormat="false" ht="25.5" hidden="false" customHeight="true" outlineLevel="0" collapsed="false">
      <c r="A22" s="10" t="n">
        <v>18</v>
      </c>
      <c r="B22" s="6" t="n">
        <v>2</v>
      </c>
      <c r="C22" s="10" t="s">
        <v>91</v>
      </c>
      <c r="D22" s="11" t="s">
        <v>72</v>
      </c>
      <c r="E22" s="10" t="s">
        <v>29</v>
      </c>
      <c r="F22" s="10" t="s">
        <v>92</v>
      </c>
      <c r="G22" s="10" t="s">
        <v>74</v>
      </c>
      <c r="H22" s="10" t="s">
        <v>32</v>
      </c>
      <c r="I22" s="8" t="n">
        <v>0.08</v>
      </c>
      <c r="J22" s="12" t="n">
        <f aca="false">B22*I22</f>
        <v>0.16</v>
      </c>
      <c r="K22" s="10"/>
      <c r="L22" s="10"/>
    </row>
    <row r="23" customFormat="false" ht="25.5" hidden="false" customHeight="true" outlineLevel="0" collapsed="false">
      <c r="A23" s="10" t="n">
        <v>19</v>
      </c>
      <c r="B23" s="6" t="n">
        <v>1</v>
      </c>
      <c r="C23" s="10" t="s">
        <v>93</v>
      </c>
      <c r="D23" s="11" t="s">
        <v>94</v>
      </c>
      <c r="E23" s="10" t="s">
        <v>63</v>
      </c>
      <c r="F23" s="10" t="s">
        <v>95</v>
      </c>
      <c r="G23" s="10" t="s">
        <v>31</v>
      </c>
      <c r="H23" s="10" t="s">
        <v>32</v>
      </c>
      <c r="I23" s="8" t="n">
        <v>0.02</v>
      </c>
      <c r="J23" s="12" t="n">
        <f aca="false">B23*I23</f>
        <v>0.02</v>
      </c>
      <c r="K23" s="10"/>
      <c r="L23" s="10" t="s">
        <v>96</v>
      </c>
    </row>
    <row r="24" customFormat="false" ht="25.5" hidden="false" customHeight="true" outlineLevel="0" collapsed="false">
      <c r="A24" s="10" t="n">
        <v>20</v>
      </c>
      <c r="B24" s="6" t="n">
        <v>1</v>
      </c>
      <c r="C24" s="10" t="s">
        <v>97</v>
      </c>
      <c r="D24" s="11" t="s">
        <v>98</v>
      </c>
      <c r="E24" s="10" t="s">
        <v>63</v>
      </c>
      <c r="F24" s="10" t="s">
        <v>99</v>
      </c>
      <c r="G24" s="10" t="s">
        <v>31</v>
      </c>
      <c r="H24" s="10" t="s">
        <v>32</v>
      </c>
      <c r="I24" s="8" t="n">
        <v>0.02</v>
      </c>
      <c r="J24" s="12" t="n">
        <f aca="false">B24*I24</f>
        <v>0.02</v>
      </c>
      <c r="K24" s="10"/>
      <c r="L24" s="10" t="s">
        <v>100</v>
      </c>
    </row>
    <row r="25" customFormat="false" ht="25.5" hidden="false" customHeight="true" outlineLevel="0" collapsed="false">
      <c r="A25" s="10" t="n">
        <v>21</v>
      </c>
      <c r="B25" s="6" t="n">
        <v>1</v>
      </c>
      <c r="C25" s="10" t="s">
        <v>101</v>
      </c>
      <c r="D25" s="11" t="s">
        <v>102</v>
      </c>
      <c r="E25" s="10" t="s">
        <v>29</v>
      </c>
      <c r="F25" s="10" t="s">
        <v>103</v>
      </c>
      <c r="G25" s="10" t="s">
        <v>74</v>
      </c>
      <c r="H25" s="10" t="s">
        <v>32</v>
      </c>
      <c r="I25" s="8" t="n">
        <v>0.1</v>
      </c>
      <c r="J25" s="12" t="n">
        <f aca="false">B25*I25</f>
        <v>0.1</v>
      </c>
      <c r="K25" s="10"/>
      <c r="L25" s="10" t="s">
        <v>104</v>
      </c>
    </row>
    <row r="26" customFormat="false" ht="25.5" hidden="false" customHeight="true" outlineLevel="0" collapsed="false">
      <c r="A26" s="10" t="n">
        <v>22</v>
      </c>
      <c r="B26" s="6" t="n">
        <v>1</v>
      </c>
      <c r="C26" s="10" t="s">
        <v>105</v>
      </c>
      <c r="D26" s="11" t="s">
        <v>106</v>
      </c>
      <c r="E26" s="10" t="s">
        <v>29</v>
      </c>
      <c r="F26" s="10" t="s">
        <v>107</v>
      </c>
      <c r="G26" s="10" t="s">
        <v>31</v>
      </c>
      <c r="H26" s="10" t="s">
        <v>32</v>
      </c>
      <c r="I26" s="8" t="n">
        <v>0.03</v>
      </c>
      <c r="J26" s="12" t="n">
        <f aca="false">B26*I26</f>
        <v>0.03</v>
      </c>
      <c r="K26" s="10"/>
      <c r="L26" s="10"/>
    </row>
    <row r="27" customFormat="false" ht="25.5" hidden="false" customHeight="true" outlineLevel="0" collapsed="false">
      <c r="A27" s="10" t="n">
        <v>23</v>
      </c>
      <c r="B27" s="6" t="n">
        <v>1</v>
      </c>
      <c r="C27" s="10" t="s">
        <v>108</v>
      </c>
      <c r="D27" s="11" t="s">
        <v>109</v>
      </c>
      <c r="E27" s="10" t="s">
        <v>63</v>
      </c>
      <c r="F27" s="10" t="s">
        <v>110</v>
      </c>
      <c r="G27" s="10" t="s">
        <v>31</v>
      </c>
      <c r="H27" s="10" t="s">
        <v>32</v>
      </c>
      <c r="I27" s="8" t="n">
        <v>0.02</v>
      </c>
      <c r="J27" s="12" t="n">
        <f aca="false">B27*I27</f>
        <v>0.02</v>
      </c>
      <c r="K27" s="10"/>
      <c r="L27" s="10" t="s">
        <v>111</v>
      </c>
    </row>
    <row r="28" customFormat="false" ht="25.5" hidden="false" customHeight="true" outlineLevel="0" collapsed="false">
      <c r="A28" s="10" t="n">
        <v>24</v>
      </c>
      <c r="B28" s="6" t="n">
        <v>1</v>
      </c>
      <c r="C28" s="10" t="s">
        <v>112</v>
      </c>
      <c r="D28" s="11" t="s">
        <v>113</v>
      </c>
      <c r="E28" s="10" t="s">
        <v>29</v>
      </c>
      <c r="F28" s="10" t="s">
        <v>114</v>
      </c>
      <c r="G28" s="10" t="s">
        <v>31</v>
      </c>
      <c r="H28" s="10" t="s">
        <v>32</v>
      </c>
      <c r="I28" s="8" t="n">
        <v>0.04</v>
      </c>
      <c r="J28" s="12" t="n">
        <f aca="false">B28*I28</f>
        <v>0.04</v>
      </c>
      <c r="K28" s="10"/>
      <c r="L28" s="10" t="s">
        <v>115</v>
      </c>
    </row>
    <row r="29" customFormat="false" ht="25.5" hidden="false" customHeight="true" outlineLevel="0" collapsed="false">
      <c r="A29" s="16" t="n">
        <v>25</v>
      </c>
      <c r="B29" s="6" t="n">
        <v>1</v>
      </c>
      <c r="C29" s="16" t="s">
        <v>116</v>
      </c>
      <c r="D29" s="17" t="s">
        <v>117</v>
      </c>
      <c r="E29" s="16" t="s">
        <v>16</v>
      </c>
      <c r="F29" s="16" t="s">
        <v>118</v>
      </c>
      <c r="G29" s="16" t="s">
        <v>119</v>
      </c>
      <c r="H29" s="16" t="s">
        <v>53</v>
      </c>
      <c r="I29" s="8" t="n">
        <v>0.45</v>
      </c>
      <c r="J29" s="18" t="n">
        <f aca="false">B29*I29</f>
        <v>0.45</v>
      </c>
      <c r="K29" s="16"/>
      <c r="L29" s="16" t="s">
        <v>120</v>
      </c>
    </row>
    <row r="30" customFormat="false" ht="25.5" hidden="false" customHeight="true" outlineLevel="0" collapsed="false">
      <c r="A30" s="19" t="n">
        <v>26</v>
      </c>
      <c r="B30" s="6" t="n">
        <v>1</v>
      </c>
      <c r="C30" s="19" t="s">
        <v>121</v>
      </c>
      <c r="D30" s="20" t="s">
        <v>122</v>
      </c>
      <c r="E30" s="19" t="s">
        <v>123</v>
      </c>
      <c r="F30" s="19" t="s">
        <v>124</v>
      </c>
      <c r="G30" s="19" t="s">
        <v>125</v>
      </c>
      <c r="H30" s="19" t="s">
        <v>126</v>
      </c>
      <c r="I30" s="8" t="n">
        <v>2.27</v>
      </c>
      <c r="J30" s="21" t="n">
        <f aca="false">B30*I30</f>
        <v>2.27</v>
      </c>
      <c r="K30" s="19"/>
      <c r="L30" s="19" t="s">
        <v>127</v>
      </c>
    </row>
    <row r="31" customFormat="false" ht="25.5" hidden="false" customHeight="true" outlineLevel="0" collapsed="false">
      <c r="A31" s="19" t="n">
        <v>27</v>
      </c>
      <c r="B31" s="6" t="n">
        <v>1</v>
      </c>
      <c r="C31" s="19" t="s">
        <v>128</v>
      </c>
      <c r="D31" s="20" t="s">
        <v>122</v>
      </c>
      <c r="E31" s="19" t="s">
        <v>123</v>
      </c>
      <c r="F31" s="19" t="s">
        <v>129</v>
      </c>
      <c r="G31" s="19" t="s">
        <v>125</v>
      </c>
      <c r="H31" s="19" t="s">
        <v>126</v>
      </c>
      <c r="I31" s="8" t="n">
        <v>2.27</v>
      </c>
      <c r="J31" s="21" t="n">
        <f aca="false">B31*I31</f>
        <v>2.27</v>
      </c>
      <c r="K31" s="19"/>
      <c r="L31" s="19"/>
    </row>
    <row r="32" customFormat="false" ht="25.5" hidden="false" customHeight="true" outlineLevel="0" collapsed="false">
      <c r="A32" s="19" t="n">
        <v>28</v>
      </c>
      <c r="B32" s="6" t="n">
        <v>1</v>
      </c>
      <c r="C32" s="19" t="s">
        <v>130</v>
      </c>
      <c r="D32" s="20" t="s">
        <v>122</v>
      </c>
      <c r="E32" s="19" t="s">
        <v>123</v>
      </c>
      <c r="F32" s="19" t="s">
        <v>131</v>
      </c>
      <c r="G32" s="19" t="s">
        <v>125</v>
      </c>
      <c r="H32" s="19" t="s">
        <v>126</v>
      </c>
      <c r="I32" s="8" t="n">
        <v>2.27</v>
      </c>
      <c r="J32" s="21" t="n">
        <f aca="false">B32*I32</f>
        <v>2.27</v>
      </c>
      <c r="K32" s="19"/>
      <c r="L32" s="19"/>
    </row>
    <row r="33" customFormat="false" ht="25.5" hidden="false" customHeight="true" outlineLevel="0" collapsed="false">
      <c r="A33" s="19" t="n">
        <v>29</v>
      </c>
      <c r="B33" s="6" t="n">
        <v>1</v>
      </c>
      <c r="C33" s="19" t="s">
        <v>132</v>
      </c>
      <c r="D33" s="20" t="s">
        <v>122</v>
      </c>
      <c r="E33" s="19" t="s">
        <v>123</v>
      </c>
      <c r="F33" s="19" t="s">
        <v>133</v>
      </c>
      <c r="G33" s="19" t="s">
        <v>125</v>
      </c>
      <c r="H33" s="19" t="s">
        <v>126</v>
      </c>
      <c r="I33" s="8" t="n">
        <v>2.27</v>
      </c>
      <c r="J33" s="21" t="n">
        <f aca="false">B33*I33</f>
        <v>2.27</v>
      </c>
      <c r="K33" s="19"/>
      <c r="L33" s="19"/>
    </row>
    <row r="34" customFormat="false" ht="25.5" hidden="false" customHeight="true" outlineLevel="0" collapsed="false">
      <c r="A34" s="22" t="n">
        <v>30</v>
      </c>
      <c r="B34" s="6" t="n">
        <v>8</v>
      </c>
      <c r="C34" s="22" t="s">
        <v>134</v>
      </c>
      <c r="D34" s="23" t="s">
        <v>135</v>
      </c>
      <c r="E34" s="22" t="s">
        <v>16</v>
      </c>
      <c r="F34" s="22" t="s">
        <v>136</v>
      </c>
      <c r="G34" s="22" t="s">
        <v>137</v>
      </c>
      <c r="H34" s="22" t="s">
        <v>138</v>
      </c>
      <c r="I34" s="8" t="n">
        <v>0.42</v>
      </c>
      <c r="J34" s="24" t="n">
        <f aca="false">B34*I34</f>
        <v>3.36</v>
      </c>
      <c r="K34" s="22"/>
      <c r="L34" s="22" t="s">
        <v>139</v>
      </c>
    </row>
    <row r="35" customFormat="false" ht="25.5" hidden="false" customHeight="true" outlineLevel="0" collapsed="false">
      <c r="A35" s="22" t="n">
        <v>31</v>
      </c>
      <c r="B35" s="6" t="n">
        <v>4</v>
      </c>
      <c r="C35" s="22" t="s">
        <v>140</v>
      </c>
      <c r="D35" s="23" t="s">
        <v>141</v>
      </c>
      <c r="E35" s="22" t="s">
        <v>16</v>
      </c>
      <c r="F35" s="22" t="s">
        <v>142</v>
      </c>
      <c r="G35" s="22" t="s">
        <v>143</v>
      </c>
      <c r="H35" s="22" t="s">
        <v>138</v>
      </c>
      <c r="I35" s="8" t="n">
        <v>0.38</v>
      </c>
      <c r="J35" s="24" t="n">
        <f aca="false">B35*I35</f>
        <v>1.52</v>
      </c>
      <c r="K35" s="22"/>
      <c r="L35" s="22"/>
    </row>
    <row r="36" customFormat="false" ht="25.5" hidden="false" customHeight="true" outlineLevel="0" collapsed="false">
      <c r="A36" s="22" t="n">
        <v>32</v>
      </c>
      <c r="B36" s="6" t="n">
        <v>4</v>
      </c>
      <c r="C36" s="22" t="s">
        <v>144</v>
      </c>
      <c r="D36" s="23" t="s">
        <v>145</v>
      </c>
      <c r="E36" s="22" t="s">
        <v>146</v>
      </c>
      <c r="F36" s="22" t="s">
        <v>147</v>
      </c>
      <c r="G36" s="22" t="s">
        <v>148</v>
      </c>
      <c r="H36" s="22" t="s">
        <v>138</v>
      </c>
      <c r="I36" s="8" t="n">
        <v>0.08</v>
      </c>
      <c r="J36" s="24" t="n">
        <f aca="false">B36*I36</f>
        <v>0.32</v>
      </c>
      <c r="K36" s="22"/>
      <c r="L36" s="22" t="s">
        <v>149</v>
      </c>
    </row>
    <row r="37" customFormat="false" ht="25.5" hidden="false" customHeight="true" outlineLevel="0" collapsed="false">
      <c r="A37" s="10" t="n">
        <v>33</v>
      </c>
      <c r="B37" s="6" t="n">
        <v>16</v>
      </c>
      <c r="C37" s="10" t="s">
        <v>150</v>
      </c>
      <c r="D37" s="11" t="s">
        <v>151</v>
      </c>
      <c r="E37" s="10" t="s">
        <v>29</v>
      </c>
      <c r="F37" s="10" t="s">
        <v>152</v>
      </c>
      <c r="G37" s="10" t="s">
        <v>31</v>
      </c>
      <c r="H37" s="10" t="s">
        <v>32</v>
      </c>
      <c r="I37" s="8" t="n">
        <v>0.04</v>
      </c>
      <c r="J37" s="12" t="n">
        <f aca="false">B37*I37</f>
        <v>0.64</v>
      </c>
      <c r="K37" s="10"/>
      <c r="L37" s="10" t="s">
        <v>153</v>
      </c>
    </row>
    <row r="38" customFormat="false" ht="25.5" hidden="false" customHeight="true" outlineLevel="0" collapsed="false">
      <c r="A38" s="10" t="n">
        <v>34</v>
      </c>
      <c r="B38" s="6" t="n">
        <v>4</v>
      </c>
      <c r="C38" s="10" t="s">
        <v>154</v>
      </c>
      <c r="D38" s="11" t="s">
        <v>155</v>
      </c>
      <c r="E38" s="10" t="s">
        <v>63</v>
      </c>
      <c r="F38" s="10" t="s">
        <v>156</v>
      </c>
      <c r="G38" s="10" t="s">
        <v>31</v>
      </c>
      <c r="H38" s="10" t="s">
        <v>32</v>
      </c>
      <c r="I38" s="8" t="n">
        <v>0.02</v>
      </c>
      <c r="J38" s="12" t="n">
        <f aca="false">B38*I38</f>
        <v>0.08</v>
      </c>
      <c r="K38" s="10"/>
      <c r="L38" s="10"/>
    </row>
    <row r="39" customFormat="false" ht="25.5" hidden="false" customHeight="true" outlineLevel="0" collapsed="false">
      <c r="A39" s="10" t="n">
        <v>35</v>
      </c>
      <c r="B39" s="6" t="n">
        <v>3</v>
      </c>
      <c r="C39" s="10" t="s">
        <v>157</v>
      </c>
      <c r="D39" s="11" t="s">
        <v>158</v>
      </c>
      <c r="E39" s="10" t="s">
        <v>63</v>
      </c>
      <c r="F39" s="10" t="s">
        <v>159</v>
      </c>
      <c r="G39" s="10" t="s">
        <v>31</v>
      </c>
      <c r="H39" s="10" t="s">
        <v>32</v>
      </c>
      <c r="I39" s="8" t="n">
        <v>0.02</v>
      </c>
      <c r="J39" s="12" t="n">
        <f aca="false">B39*I39</f>
        <v>0.06</v>
      </c>
      <c r="K39" s="10"/>
      <c r="L39" s="10"/>
    </row>
    <row r="40" customFormat="false" ht="25.5" hidden="false" customHeight="true" outlineLevel="0" collapsed="false">
      <c r="A40" s="10" t="n">
        <v>36</v>
      </c>
      <c r="B40" s="6" t="n">
        <v>4</v>
      </c>
      <c r="C40" s="10" t="s">
        <v>160</v>
      </c>
      <c r="D40" s="11" t="s">
        <v>161</v>
      </c>
      <c r="E40" s="10" t="s">
        <v>29</v>
      </c>
      <c r="F40" s="10" t="s">
        <v>162</v>
      </c>
      <c r="G40" s="10" t="s">
        <v>163</v>
      </c>
      <c r="H40" s="10" t="s">
        <v>32</v>
      </c>
      <c r="I40" s="8" t="n">
        <v>0.08</v>
      </c>
      <c r="J40" s="12" t="n">
        <f aca="false">B40*I40</f>
        <v>0.32</v>
      </c>
      <c r="K40" s="10"/>
      <c r="L40" s="10"/>
    </row>
    <row r="41" customFormat="false" ht="25.5" hidden="false" customHeight="true" outlineLevel="0" collapsed="false">
      <c r="A41" s="10" t="n">
        <v>37</v>
      </c>
      <c r="B41" s="6" t="n">
        <v>1</v>
      </c>
      <c r="C41" s="10" t="s">
        <v>164</v>
      </c>
      <c r="D41" s="11" t="s">
        <v>165</v>
      </c>
      <c r="E41" s="10" t="s">
        <v>166</v>
      </c>
      <c r="F41" s="10" t="s">
        <v>167</v>
      </c>
      <c r="G41" s="10" t="s">
        <v>168</v>
      </c>
      <c r="H41" s="10" t="s">
        <v>32</v>
      </c>
      <c r="I41" s="8" t="n">
        <v>0.85</v>
      </c>
      <c r="J41" s="12" t="n">
        <f aca="false">B41*I41</f>
        <v>0.85</v>
      </c>
      <c r="K41" s="10"/>
      <c r="L41" s="10" t="s">
        <v>169</v>
      </c>
    </row>
    <row r="42" customFormat="false" ht="25.5" hidden="false" customHeight="true" outlineLevel="0" collapsed="false">
      <c r="A42" s="10" t="n">
        <v>38</v>
      </c>
      <c r="B42" s="6" t="n">
        <v>20</v>
      </c>
      <c r="C42" s="10" t="s">
        <v>170</v>
      </c>
      <c r="D42" s="11" t="s">
        <v>106</v>
      </c>
      <c r="E42" s="10" t="s">
        <v>29</v>
      </c>
      <c r="F42" s="10" t="s">
        <v>171</v>
      </c>
      <c r="G42" s="10" t="s">
        <v>31</v>
      </c>
      <c r="H42" s="10" t="s">
        <v>32</v>
      </c>
      <c r="I42" s="8" t="n">
        <v>0.03</v>
      </c>
      <c r="J42" s="12" t="n">
        <f aca="false">B42*I42</f>
        <v>0.6</v>
      </c>
      <c r="K42" s="10"/>
      <c r="L42" s="10" t="s">
        <v>172</v>
      </c>
    </row>
    <row r="43" customFormat="false" ht="25.5" hidden="false" customHeight="true" outlineLevel="0" collapsed="false">
      <c r="A43" s="10" t="n">
        <v>39</v>
      </c>
      <c r="B43" s="6" t="n">
        <v>24</v>
      </c>
      <c r="C43" s="10" t="s">
        <v>173</v>
      </c>
      <c r="D43" s="11" t="s">
        <v>174</v>
      </c>
      <c r="E43" s="10" t="s">
        <v>29</v>
      </c>
      <c r="F43" s="10" t="s">
        <v>175</v>
      </c>
      <c r="G43" s="10" t="s">
        <v>31</v>
      </c>
      <c r="H43" s="10" t="s">
        <v>32</v>
      </c>
      <c r="I43" s="8" t="n">
        <v>0.02</v>
      </c>
      <c r="J43" s="12" t="n">
        <f aca="false">B43*I43</f>
        <v>0.48</v>
      </c>
      <c r="K43" s="10"/>
      <c r="L43" s="10"/>
    </row>
    <row r="44" customFormat="false" ht="25.5" hidden="false" customHeight="true" outlineLevel="0" collapsed="false">
      <c r="A44" s="25" t="n">
        <v>40</v>
      </c>
      <c r="B44" s="6" t="n">
        <v>1</v>
      </c>
      <c r="C44" s="25" t="s">
        <v>176</v>
      </c>
      <c r="D44" s="26" t="s">
        <v>177</v>
      </c>
      <c r="E44" s="25" t="s">
        <v>178</v>
      </c>
      <c r="F44" s="25" t="s">
        <v>179</v>
      </c>
      <c r="G44" s="25" t="s">
        <v>180</v>
      </c>
      <c r="H44" s="25" t="s">
        <v>181</v>
      </c>
      <c r="I44" s="8" t="n">
        <v>18</v>
      </c>
      <c r="J44" s="27" t="n">
        <f aca="false">B44*I44</f>
        <v>18</v>
      </c>
      <c r="K44" s="25"/>
      <c r="L44" s="25" t="s">
        <v>182</v>
      </c>
    </row>
    <row r="45" customFormat="false" ht="25.5" hidden="false" customHeight="true" outlineLevel="0" collapsed="false">
      <c r="A45" s="25" t="n">
        <v>41</v>
      </c>
      <c r="B45" s="6" t="n">
        <v>4</v>
      </c>
      <c r="C45" s="25" t="s">
        <v>183</v>
      </c>
      <c r="D45" s="26" t="s">
        <v>184</v>
      </c>
      <c r="E45" s="25" t="s">
        <v>185</v>
      </c>
      <c r="F45" s="25" t="s">
        <v>186</v>
      </c>
      <c r="G45" s="25" t="s">
        <v>187</v>
      </c>
      <c r="H45" s="25" t="s">
        <v>181</v>
      </c>
      <c r="I45" s="8" t="n">
        <v>0.4</v>
      </c>
      <c r="J45" s="27" t="n">
        <f aca="false">B45*I45</f>
        <v>1.6</v>
      </c>
      <c r="K45" s="25"/>
      <c r="L45" s="25"/>
    </row>
    <row r="46" customFormat="false" ht="15" hidden="false" customHeight="true" outlineLevel="0" collapsed="false">
      <c r="H46" s="28" t="s">
        <v>188</v>
      </c>
      <c r="I46" s="29"/>
      <c r="J46" s="30" t="n">
        <f aca="false">SUM(J5:J45)</f>
        <v>56.21</v>
      </c>
    </row>
    <row r="48" customFormat="false" ht="15.75" hidden="false" customHeight="true" outlineLevel="0" collapsed="false">
      <c r="A48" s="31" t="s">
        <v>189</v>
      </c>
    </row>
    <row r="49" customFormat="false" ht="23.25" hidden="false" customHeight="true" outlineLevel="0" collapsed="false">
      <c r="A49" s="32" t="s">
        <v>190</v>
      </c>
      <c r="B49" s="32" t="s">
        <v>11</v>
      </c>
      <c r="C49" s="32" t="s">
        <v>191</v>
      </c>
    </row>
    <row r="50" customFormat="false" ht="15" hidden="false" customHeight="true" outlineLevel="0" collapsed="false">
      <c r="A50" s="33" t="s">
        <v>19</v>
      </c>
      <c r="B50" s="34" t="n">
        <f aca="false">SUMIF($H$5:$H$45,A50,$J$5:$J$45)</f>
        <v>5.95</v>
      </c>
      <c r="C50" s="35" t="n">
        <f aca="false">IF($J$46=0,0,B50/$J$46)</f>
        <v>0.105853051058531</v>
      </c>
    </row>
    <row r="51" customFormat="false" ht="15" hidden="false" customHeight="true" outlineLevel="0" collapsed="false">
      <c r="A51" s="36" t="s">
        <v>38</v>
      </c>
      <c r="B51" s="37" t="n">
        <f aca="false">SUMIF($H$5:$H$45,A51,$J$5:$J$45)</f>
        <v>7.4</v>
      </c>
      <c r="C51" s="38" t="n">
        <f aca="false">IF($J$46=0,0,B51/$J$46)</f>
        <v>0.131649172745063</v>
      </c>
    </row>
    <row r="52" customFormat="false" ht="15" hidden="false" customHeight="true" outlineLevel="0" collapsed="false">
      <c r="A52" s="39" t="s">
        <v>53</v>
      </c>
      <c r="B52" s="40" t="n">
        <f aca="false">SUMIF($H$5:$H$45,A52,$J$5:$J$45)</f>
        <v>5.13</v>
      </c>
      <c r="C52" s="41" t="n">
        <f aca="false">IF($J$46=0,0,B52/$J$46)</f>
        <v>0.0912648994840776</v>
      </c>
    </row>
    <row r="53" customFormat="false" ht="15" hidden="false" customHeight="true" outlineLevel="0" collapsed="false">
      <c r="A53" s="42" t="s">
        <v>138</v>
      </c>
      <c r="B53" s="43" t="n">
        <f aca="false">SUMIF($H$5:$H$45,A53,$J$5:$J$45)</f>
        <v>5.2</v>
      </c>
      <c r="C53" s="44" t="n">
        <f aca="false">IF($J$46=0,0,B53/$J$46)</f>
        <v>0.0925102294965309</v>
      </c>
    </row>
    <row r="54" customFormat="false" ht="15" hidden="false" customHeight="true" outlineLevel="0" collapsed="false">
      <c r="A54" s="45" t="s">
        <v>126</v>
      </c>
      <c r="B54" s="46" t="n">
        <f aca="false">SUMIF($H$5:$H$45,A54,$J$5:$J$45)</f>
        <v>9.08</v>
      </c>
      <c r="C54" s="47" t="n">
        <f aca="false">IF($J$46=0,0,B54/$J$46)</f>
        <v>0.161537093043942</v>
      </c>
    </row>
    <row r="55" customFormat="false" ht="15" hidden="false" customHeight="true" outlineLevel="0" collapsed="false">
      <c r="A55" s="48" t="s">
        <v>32</v>
      </c>
      <c r="B55" s="49" t="n">
        <f aca="false">SUMIF($H$5:$H$45,A55,$J$5:$J$45)</f>
        <v>3.85</v>
      </c>
      <c r="C55" s="50" t="n">
        <f aca="false">IF($J$46=0,0,B55/$J$46)</f>
        <v>0.0684931506849315</v>
      </c>
    </row>
    <row r="56" customFormat="false" ht="15" hidden="false" customHeight="true" outlineLevel="0" collapsed="false">
      <c r="A56" s="51" t="s">
        <v>181</v>
      </c>
      <c r="B56" s="52" t="n">
        <f aca="false">SUMIF($H$5:$H$45,A56,$J$5:$J$45)</f>
        <v>19.6</v>
      </c>
      <c r="C56" s="53" t="n">
        <f aca="false">IF($J$46=0,0,B56/$J$46)</f>
        <v>0.348692403486924</v>
      </c>
    </row>
  </sheetData>
  <autoFilter ref="A4:L45"/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&amp;LCase C  |  LDO 3.3 V + buck 1.1 V  |  4 Type-C only&amp;RPage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0"/>
    <col collapsed="false" customWidth="true" hidden="false" outlineLevel="0" max="5" min="3" style="1" width="12"/>
    <col collapsed="false" customWidth="true" hidden="false" outlineLevel="0" max="6" min="6" style="1" width="40"/>
  </cols>
  <sheetData>
    <row r="1" customFormat="false" ht="19.5" hidden="false" customHeight="true" outlineLevel="0" collapsed="false">
      <c r="A1" s="2" t="s">
        <v>192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32" t="s">
        <v>5</v>
      </c>
      <c r="B3" s="32" t="s">
        <v>6</v>
      </c>
      <c r="C3" s="32" t="s">
        <v>193</v>
      </c>
      <c r="D3" s="32" t="s">
        <v>10</v>
      </c>
      <c r="E3" s="32" t="s">
        <v>11</v>
      </c>
      <c r="F3" s="32" t="s">
        <v>194</v>
      </c>
    </row>
    <row r="4" customFormat="false" ht="18" hidden="false" customHeight="true" outlineLevel="0" collapsed="false">
      <c r="A4" s="54" t="s">
        <v>15</v>
      </c>
      <c r="B4" s="55" t="s">
        <v>16</v>
      </c>
      <c r="C4" s="56" t="n">
        <f aca="false">SUMIF(BOM!D:D,A4,BOM!B:B)</f>
        <v>1</v>
      </c>
      <c r="D4" s="8" t="n">
        <f aca="false">IFERROR(INDEX(BOM!I:I,MATCH(A4,BOM!D:D,0)),0)</f>
        <v>5.4</v>
      </c>
      <c r="E4" s="57" t="n">
        <f aca="false">C4*D4</f>
        <v>5.4</v>
      </c>
      <c r="F4" s="55" t="s">
        <v>14</v>
      </c>
    </row>
    <row r="5" customFormat="false" ht="18" hidden="false" customHeight="true" outlineLevel="0" collapsed="false">
      <c r="A5" s="54" t="s">
        <v>22</v>
      </c>
      <c r="B5" s="55" t="s">
        <v>23</v>
      </c>
      <c r="C5" s="56" t="n">
        <f aca="false">SUMIF(BOM!D:D,A5,BOM!B:B)</f>
        <v>1</v>
      </c>
      <c r="D5" s="8" t="n">
        <f aca="false">IFERROR(INDEX(BOM!I:I,MATCH(A5,BOM!D:D,0)),0)</f>
        <v>0.55</v>
      </c>
      <c r="E5" s="57" t="n">
        <f aca="false">C5*D5</f>
        <v>0.55</v>
      </c>
      <c r="F5" s="55" t="s">
        <v>21</v>
      </c>
    </row>
    <row r="6" customFormat="false" ht="18" hidden="false" customHeight="true" outlineLevel="0" collapsed="false">
      <c r="A6" s="54" t="s">
        <v>28</v>
      </c>
      <c r="B6" s="55" t="s">
        <v>29</v>
      </c>
      <c r="C6" s="56" t="n">
        <f aca="false">SUMIF(BOM!D:D,A6,BOM!B:B)</f>
        <v>2</v>
      </c>
      <c r="D6" s="8" t="n">
        <f aca="false">IFERROR(INDEX(BOM!I:I,MATCH(A6,BOM!D:D,0)),0)</f>
        <v>0.03</v>
      </c>
      <c r="E6" s="57" t="n">
        <f aca="false">C6*D6</f>
        <v>0.06</v>
      </c>
      <c r="F6" s="55" t="s">
        <v>27</v>
      </c>
    </row>
    <row r="7" customFormat="false" ht="18" hidden="false" customHeight="true" outlineLevel="0" collapsed="false">
      <c r="A7" s="54" t="s">
        <v>35</v>
      </c>
      <c r="B7" s="55" t="s">
        <v>16</v>
      </c>
      <c r="C7" s="56" t="n">
        <f aca="false">SUMIF(BOM!D:D,A7,BOM!B:B)</f>
        <v>4</v>
      </c>
      <c r="D7" s="8" t="n">
        <f aca="false">IFERROR(INDEX(BOM!I:I,MATCH(A7,BOM!D:D,0)),0)</f>
        <v>1.85</v>
      </c>
      <c r="E7" s="57" t="n">
        <f aca="false">C7*D7</f>
        <v>7.4</v>
      </c>
      <c r="F7" s="55" t="s">
        <v>195</v>
      </c>
    </row>
    <row r="8" customFormat="false" ht="18" hidden="false" customHeight="true" outlineLevel="0" collapsed="false">
      <c r="A8" s="54" t="s">
        <v>50</v>
      </c>
      <c r="B8" s="55" t="s">
        <v>16</v>
      </c>
      <c r="C8" s="56" t="n">
        <f aca="false">SUMIF(BOM!D:D,A8,BOM!B:B)</f>
        <v>3</v>
      </c>
      <c r="D8" s="8" t="n">
        <f aca="false">IFERROR(INDEX(BOM!I:I,MATCH(A8,BOM!D:D,0)),0)</f>
        <v>0.85</v>
      </c>
      <c r="E8" s="57" t="n">
        <f aca="false">C8*D8</f>
        <v>2.55</v>
      </c>
      <c r="F8" s="55" t="s">
        <v>196</v>
      </c>
    </row>
    <row r="9" customFormat="false" ht="18" hidden="false" customHeight="true" outlineLevel="0" collapsed="false">
      <c r="A9" s="54" t="s">
        <v>62</v>
      </c>
      <c r="B9" s="55" t="s">
        <v>63</v>
      </c>
      <c r="C9" s="56" t="n">
        <f aca="false">SUMIF(BOM!D:D,A9,BOM!B:B)</f>
        <v>3</v>
      </c>
      <c r="D9" s="8" t="n">
        <f aca="false">IFERROR(INDEX(BOM!I:I,MATCH(A9,BOM!D:D,0)),0)</f>
        <v>0.03</v>
      </c>
      <c r="E9" s="57" t="n">
        <f aca="false">C9*D9</f>
        <v>0.09</v>
      </c>
      <c r="F9" s="55" t="s">
        <v>61</v>
      </c>
    </row>
    <row r="10" customFormat="false" ht="18" hidden="false" customHeight="true" outlineLevel="0" collapsed="false">
      <c r="A10" s="54" t="s">
        <v>67</v>
      </c>
      <c r="B10" s="55" t="s">
        <v>16</v>
      </c>
      <c r="C10" s="56" t="n">
        <f aca="false">SUMIF(BOM!D:D,A10,BOM!B:B)</f>
        <v>1</v>
      </c>
      <c r="D10" s="8" t="n">
        <f aca="false">IFERROR(INDEX(BOM!I:I,MATCH(A10,BOM!D:D,0)),0)</f>
        <v>0.36</v>
      </c>
      <c r="E10" s="57" t="n">
        <f aca="false">C10*D10</f>
        <v>0.36</v>
      </c>
      <c r="F10" s="55" t="s">
        <v>66</v>
      </c>
    </row>
    <row r="11" customFormat="false" ht="18" hidden="false" customHeight="true" outlineLevel="0" collapsed="false">
      <c r="A11" s="54" t="s">
        <v>72</v>
      </c>
      <c r="B11" s="55" t="s">
        <v>29</v>
      </c>
      <c r="C11" s="56" t="n">
        <f aca="false">SUMIF(BOM!D:D,A11,BOM!B:B)</f>
        <v>4</v>
      </c>
      <c r="D11" s="8" t="n">
        <f aca="false">IFERROR(INDEX(BOM!I:I,MATCH(A11,BOM!D:D,0)),0)</f>
        <v>0.08</v>
      </c>
      <c r="E11" s="57" t="n">
        <f aca="false">C11*D11</f>
        <v>0.32</v>
      </c>
      <c r="F11" s="55" t="s">
        <v>197</v>
      </c>
    </row>
    <row r="12" customFormat="false" ht="18" hidden="false" customHeight="true" outlineLevel="0" collapsed="false">
      <c r="A12" s="54" t="s">
        <v>76</v>
      </c>
      <c r="B12" s="55" t="s">
        <v>29</v>
      </c>
      <c r="C12" s="56" t="n">
        <f aca="false">SUMIF(BOM!D:D,A12,BOM!B:B)</f>
        <v>1</v>
      </c>
      <c r="D12" s="8" t="n">
        <f aca="false">IFERROR(INDEX(BOM!I:I,MATCH(A12,BOM!D:D,0)),0)</f>
        <v>0.12</v>
      </c>
      <c r="E12" s="57" t="n">
        <f aca="false">C12*D12</f>
        <v>0.12</v>
      </c>
      <c r="F12" s="55" t="s">
        <v>75</v>
      </c>
    </row>
    <row r="13" customFormat="false" ht="18" hidden="false" customHeight="true" outlineLevel="0" collapsed="false">
      <c r="A13" s="54" t="s">
        <v>79</v>
      </c>
      <c r="B13" s="55" t="s">
        <v>16</v>
      </c>
      <c r="C13" s="56" t="n">
        <f aca="false">SUMIF(BOM!D:D,A13,BOM!B:B)</f>
        <v>1</v>
      </c>
      <c r="D13" s="8" t="n">
        <f aca="false">IFERROR(INDEX(BOM!I:I,MATCH(A13,BOM!D:D,0)),0)</f>
        <v>0.62</v>
      </c>
      <c r="E13" s="57" t="n">
        <f aca="false">C13*D13</f>
        <v>0.62</v>
      </c>
      <c r="F13" s="55" t="s">
        <v>78</v>
      </c>
    </row>
    <row r="14" customFormat="false" ht="18" hidden="false" customHeight="true" outlineLevel="0" collapsed="false">
      <c r="A14" s="54" t="s">
        <v>83</v>
      </c>
      <c r="B14" s="55" t="s">
        <v>84</v>
      </c>
      <c r="C14" s="56" t="n">
        <f aca="false">SUMIF(BOM!D:D,A14,BOM!B:B)</f>
        <v>1</v>
      </c>
      <c r="D14" s="8" t="n">
        <f aca="false">IFERROR(INDEX(BOM!I:I,MATCH(A14,BOM!D:D,0)),0)</f>
        <v>1.15</v>
      </c>
      <c r="E14" s="57" t="n">
        <f aca="false">C14*D14</f>
        <v>1.15</v>
      </c>
      <c r="F14" s="55" t="s">
        <v>82</v>
      </c>
    </row>
    <row r="15" customFormat="false" ht="18" hidden="false" customHeight="true" outlineLevel="0" collapsed="false">
      <c r="A15" s="54" t="s">
        <v>94</v>
      </c>
      <c r="B15" s="55" t="s">
        <v>63</v>
      </c>
      <c r="C15" s="56" t="n">
        <f aca="false">SUMIF(BOM!D:D,A15,BOM!B:B)</f>
        <v>1</v>
      </c>
      <c r="D15" s="8" t="n">
        <f aca="false">IFERROR(INDEX(BOM!I:I,MATCH(A15,BOM!D:D,0)),0)</f>
        <v>0.02</v>
      </c>
      <c r="E15" s="57" t="n">
        <f aca="false">C15*D15</f>
        <v>0.02</v>
      </c>
      <c r="F15" s="55" t="s">
        <v>93</v>
      </c>
    </row>
    <row r="16" customFormat="false" ht="18" hidden="false" customHeight="true" outlineLevel="0" collapsed="false">
      <c r="A16" s="54" t="s">
        <v>98</v>
      </c>
      <c r="B16" s="55" t="s">
        <v>63</v>
      </c>
      <c r="C16" s="56" t="n">
        <f aca="false">SUMIF(BOM!D:D,A16,BOM!B:B)</f>
        <v>1</v>
      </c>
      <c r="D16" s="8" t="n">
        <f aca="false">IFERROR(INDEX(BOM!I:I,MATCH(A16,BOM!D:D,0)),0)</f>
        <v>0.02</v>
      </c>
      <c r="E16" s="57" t="n">
        <f aca="false">C16*D16</f>
        <v>0.02</v>
      </c>
      <c r="F16" s="55" t="s">
        <v>97</v>
      </c>
    </row>
    <row r="17" customFormat="false" ht="18" hidden="false" customHeight="true" outlineLevel="0" collapsed="false">
      <c r="A17" s="54" t="s">
        <v>102</v>
      </c>
      <c r="B17" s="55" t="s">
        <v>29</v>
      </c>
      <c r="C17" s="56" t="n">
        <f aca="false">SUMIF(BOM!D:D,A17,BOM!B:B)</f>
        <v>1</v>
      </c>
      <c r="D17" s="8" t="n">
        <f aca="false">IFERROR(INDEX(BOM!I:I,MATCH(A17,BOM!D:D,0)),0)</f>
        <v>0.1</v>
      </c>
      <c r="E17" s="57" t="n">
        <f aca="false">C17*D17</f>
        <v>0.1</v>
      </c>
      <c r="F17" s="55" t="s">
        <v>101</v>
      </c>
    </row>
    <row r="18" customFormat="false" ht="18" hidden="false" customHeight="true" outlineLevel="0" collapsed="false">
      <c r="A18" s="54" t="s">
        <v>106</v>
      </c>
      <c r="B18" s="55" t="s">
        <v>29</v>
      </c>
      <c r="C18" s="56" t="n">
        <f aca="false">SUMIF(BOM!D:D,A18,BOM!B:B)</f>
        <v>21</v>
      </c>
      <c r="D18" s="8" t="n">
        <f aca="false">IFERROR(INDEX(BOM!I:I,MATCH(A18,BOM!D:D,0)),0)</f>
        <v>0.03</v>
      </c>
      <c r="E18" s="57" t="n">
        <f aca="false">C18*D18</f>
        <v>0.63</v>
      </c>
      <c r="F18" s="55" t="s">
        <v>198</v>
      </c>
    </row>
    <row r="19" customFormat="false" ht="18" hidden="false" customHeight="true" outlineLevel="0" collapsed="false">
      <c r="A19" s="54" t="s">
        <v>109</v>
      </c>
      <c r="B19" s="55" t="s">
        <v>63</v>
      </c>
      <c r="C19" s="56" t="n">
        <f aca="false">SUMIF(BOM!D:D,A19,BOM!B:B)</f>
        <v>1</v>
      </c>
      <c r="D19" s="8" t="n">
        <f aca="false">IFERROR(INDEX(BOM!I:I,MATCH(A19,BOM!D:D,0)),0)</f>
        <v>0.02</v>
      </c>
      <c r="E19" s="57" t="n">
        <f aca="false">C19*D19</f>
        <v>0.02</v>
      </c>
      <c r="F19" s="55" t="s">
        <v>108</v>
      </c>
    </row>
    <row r="20" customFormat="false" ht="18" hidden="false" customHeight="true" outlineLevel="0" collapsed="false">
      <c r="A20" s="54" t="s">
        <v>113</v>
      </c>
      <c r="B20" s="55" t="s">
        <v>29</v>
      </c>
      <c r="C20" s="56" t="n">
        <f aca="false">SUMIF(BOM!D:D,A20,BOM!B:B)</f>
        <v>1</v>
      </c>
      <c r="D20" s="8" t="n">
        <f aca="false">IFERROR(INDEX(BOM!I:I,MATCH(A20,BOM!D:D,0)),0)</f>
        <v>0.04</v>
      </c>
      <c r="E20" s="57" t="n">
        <f aca="false">C20*D20</f>
        <v>0.04</v>
      </c>
      <c r="F20" s="55" t="s">
        <v>112</v>
      </c>
    </row>
    <row r="21" customFormat="false" ht="18" hidden="false" customHeight="true" outlineLevel="0" collapsed="false">
      <c r="A21" s="54" t="s">
        <v>117</v>
      </c>
      <c r="B21" s="55" t="s">
        <v>16</v>
      </c>
      <c r="C21" s="56" t="n">
        <f aca="false">SUMIF(BOM!D:D,A21,BOM!B:B)</f>
        <v>1</v>
      </c>
      <c r="D21" s="8" t="n">
        <f aca="false">IFERROR(INDEX(BOM!I:I,MATCH(A21,BOM!D:D,0)),0)</f>
        <v>0.45</v>
      </c>
      <c r="E21" s="57" t="n">
        <f aca="false">C21*D21</f>
        <v>0.45</v>
      </c>
      <c r="F21" s="55" t="s">
        <v>116</v>
      </c>
    </row>
    <row r="22" customFormat="false" ht="18" hidden="false" customHeight="true" outlineLevel="0" collapsed="false">
      <c r="A22" s="54" t="s">
        <v>122</v>
      </c>
      <c r="B22" s="55" t="s">
        <v>123</v>
      </c>
      <c r="C22" s="56" t="n">
        <f aca="false">SUMIF(BOM!D:D,A22,BOM!B:B)</f>
        <v>4</v>
      </c>
      <c r="D22" s="8" t="n">
        <f aca="false">IFERROR(INDEX(BOM!I:I,MATCH(A22,BOM!D:D,0)),0)</f>
        <v>2.27</v>
      </c>
      <c r="E22" s="57" t="n">
        <f aca="false">C22*D22</f>
        <v>9.08</v>
      </c>
      <c r="F22" s="55" t="s">
        <v>199</v>
      </c>
    </row>
    <row r="23" customFormat="false" ht="18" hidden="false" customHeight="true" outlineLevel="0" collapsed="false">
      <c r="A23" s="54" t="s">
        <v>135</v>
      </c>
      <c r="B23" s="55" t="s">
        <v>16</v>
      </c>
      <c r="C23" s="56" t="n">
        <f aca="false">SUMIF(BOM!D:D,A23,BOM!B:B)</f>
        <v>8</v>
      </c>
      <c r="D23" s="8" t="n">
        <f aca="false">IFERROR(INDEX(BOM!I:I,MATCH(A23,BOM!D:D,0)),0)</f>
        <v>0.42</v>
      </c>
      <c r="E23" s="57" t="n">
        <f aca="false">C23*D23</f>
        <v>3.36</v>
      </c>
      <c r="F23" s="55" t="s">
        <v>134</v>
      </c>
    </row>
    <row r="24" customFormat="false" ht="18" hidden="false" customHeight="true" outlineLevel="0" collapsed="false">
      <c r="A24" s="54" t="s">
        <v>141</v>
      </c>
      <c r="B24" s="55" t="s">
        <v>16</v>
      </c>
      <c r="C24" s="56" t="n">
        <f aca="false">SUMIF(BOM!D:D,A24,BOM!B:B)</f>
        <v>4</v>
      </c>
      <c r="D24" s="8" t="n">
        <f aca="false">IFERROR(INDEX(BOM!I:I,MATCH(A24,BOM!D:D,0)),0)</f>
        <v>0.38</v>
      </c>
      <c r="E24" s="57" t="n">
        <f aca="false">C24*D24</f>
        <v>1.52</v>
      </c>
      <c r="F24" s="55" t="s">
        <v>140</v>
      </c>
    </row>
    <row r="25" customFormat="false" ht="18" hidden="false" customHeight="true" outlineLevel="0" collapsed="false">
      <c r="A25" s="54" t="s">
        <v>145</v>
      </c>
      <c r="B25" s="55" t="s">
        <v>146</v>
      </c>
      <c r="C25" s="56" t="n">
        <f aca="false">SUMIF(BOM!D:D,A25,BOM!B:B)</f>
        <v>4</v>
      </c>
      <c r="D25" s="8" t="n">
        <f aca="false">IFERROR(INDEX(BOM!I:I,MATCH(A25,BOM!D:D,0)),0)</f>
        <v>0.08</v>
      </c>
      <c r="E25" s="57" t="n">
        <f aca="false">C25*D25</f>
        <v>0.32</v>
      </c>
      <c r="F25" s="55" t="s">
        <v>144</v>
      </c>
    </row>
    <row r="26" customFormat="false" ht="18" hidden="false" customHeight="true" outlineLevel="0" collapsed="false">
      <c r="A26" s="54" t="s">
        <v>151</v>
      </c>
      <c r="B26" s="55" t="s">
        <v>29</v>
      </c>
      <c r="C26" s="56" t="n">
        <f aca="false">SUMIF(BOM!D:D,A26,BOM!B:B)</f>
        <v>16</v>
      </c>
      <c r="D26" s="8" t="n">
        <f aca="false">IFERROR(INDEX(BOM!I:I,MATCH(A26,BOM!D:D,0)),0)</f>
        <v>0.04</v>
      </c>
      <c r="E26" s="57" t="n">
        <f aca="false">C26*D26</f>
        <v>0.64</v>
      </c>
      <c r="F26" s="55" t="s">
        <v>150</v>
      </c>
    </row>
    <row r="27" customFormat="false" ht="18" hidden="false" customHeight="true" outlineLevel="0" collapsed="false">
      <c r="A27" s="54" t="s">
        <v>155</v>
      </c>
      <c r="B27" s="55" t="s">
        <v>63</v>
      </c>
      <c r="C27" s="56" t="n">
        <f aca="false">SUMIF(BOM!D:D,A27,BOM!B:B)</f>
        <v>4</v>
      </c>
      <c r="D27" s="8" t="n">
        <f aca="false">IFERROR(INDEX(BOM!I:I,MATCH(A27,BOM!D:D,0)),0)</f>
        <v>0.02</v>
      </c>
      <c r="E27" s="57" t="n">
        <f aca="false">C27*D27</f>
        <v>0.08</v>
      </c>
      <c r="F27" s="55" t="s">
        <v>154</v>
      </c>
    </row>
    <row r="28" customFormat="false" ht="18" hidden="false" customHeight="true" outlineLevel="0" collapsed="false">
      <c r="A28" s="54" t="s">
        <v>158</v>
      </c>
      <c r="B28" s="55" t="s">
        <v>63</v>
      </c>
      <c r="C28" s="56" t="n">
        <f aca="false">SUMIF(BOM!D:D,A28,BOM!B:B)</f>
        <v>3</v>
      </c>
      <c r="D28" s="8" t="n">
        <f aca="false">IFERROR(INDEX(BOM!I:I,MATCH(A28,BOM!D:D,0)),0)</f>
        <v>0.02</v>
      </c>
      <c r="E28" s="57" t="n">
        <f aca="false">C28*D28</f>
        <v>0.06</v>
      </c>
      <c r="F28" s="55" t="s">
        <v>157</v>
      </c>
    </row>
    <row r="29" customFormat="false" ht="18" hidden="false" customHeight="true" outlineLevel="0" collapsed="false">
      <c r="A29" s="54" t="s">
        <v>161</v>
      </c>
      <c r="B29" s="55" t="s">
        <v>29</v>
      </c>
      <c r="C29" s="56" t="n">
        <f aca="false">SUMIF(BOM!D:D,A29,BOM!B:B)</f>
        <v>4</v>
      </c>
      <c r="D29" s="8" t="n">
        <f aca="false">IFERROR(INDEX(BOM!I:I,MATCH(A29,BOM!D:D,0)),0)</f>
        <v>0.08</v>
      </c>
      <c r="E29" s="57" t="n">
        <f aca="false">C29*D29</f>
        <v>0.32</v>
      </c>
      <c r="F29" s="55" t="s">
        <v>160</v>
      </c>
    </row>
    <row r="30" customFormat="false" ht="18" hidden="false" customHeight="true" outlineLevel="0" collapsed="false">
      <c r="A30" s="54" t="s">
        <v>165</v>
      </c>
      <c r="B30" s="55" t="s">
        <v>166</v>
      </c>
      <c r="C30" s="56" t="n">
        <f aca="false">SUMIF(BOM!D:D,A30,BOM!B:B)</f>
        <v>1</v>
      </c>
      <c r="D30" s="8" t="n">
        <f aca="false">IFERROR(INDEX(BOM!I:I,MATCH(A30,BOM!D:D,0)),0)</f>
        <v>0.85</v>
      </c>
      <c r="E30" s="57" t="n">
        <f aca="false">C30*D30</f>
        <v>0.85</v>
      </c>
      <c r="F30" s="55" t="s">
        <v>164</v>
      </c>
    </row>
    <row r="31" customFormat="false" ht="18" hidden="false" customHeight="true" outlineLevel="0" collapsed="false">
      <c r="A31" s="54" t="s">
        <v>174</v>
      </c>
      <c r="B31" s="55" t="s">
        <v>29</v>
      </c>
      <c r="C31" s="56" t="n">
        <f aca="false">SUMIF(BOM!D:D,A31,BOM!B:B)</f>
        <v>24</v>
      </c>
      <c r="D31" s="8" t="n">
        <f aca="false">IFERROR(INDEX(BOM!I:I,MATCH(A31,BOM!D:D,0)),0)</f>
        <v>0.02</v>
      </c>
      <c r="E31" s="57" t="n">
        <f aca="false">C31*D31</f>
        <v>0.48</v>
      </c>
      <c r="F31" s="55" t="s">
        <v>173</v>
      </c>
    </row>
    <row r="32" customFormat="false" ht="18" hidden="false" customHeight="true" outlineLevel="0" collapsed="false">
      <c r="A32" s="54" t="s">
        <v>177</v>
      </c>
      <c r="B32" s="55" t="s">
        <v>178</v>
      </c>
      <c r="C32" s="56" t="n">
        <f aca="false">SUMIF(BOM!D:D,A32,BOM!B:B)</f>
        <v>1</v>
      </c>
      <c r="D32" s="8" t="n">
        <f aca="false">IFERROR(INDEX(BOM!I:I,MATCH(A32,BOM!D:D,0)),0)</f>
        <v>18</v>
      </c>
      <c r="E32" s="57" t="n">
        <f aca="false">C32*D32</f>
        <v>18</v>
      </c>
      <c r="F32" s="55" t="s">
        <v>176</v>
      </c>
    </row>
    <row r="33" customFormat="false" ht="18" hidden="false" customHeight="true" outlineLevel="0" collapsed="false">
      <c r="A33" s="54" t="s">
        <v>184</v>
      </c>
      <c r="B33" s="55" t="s">
        <v>185</v>
      </c>
      <c r="C33" s="56" t="n">
        <f aca="false">SUMIF(BOM!D:D,A33,BOM!B:B)</f>
        <v>4</v>
      </c>
      <c r="D33" s="8" t="n">
        <f aca="false">IFERROR(INDEX(BOM!I:I,MATCH(A33,BOM!D:D,0)),0)</f>
        <v>0.4</v>
      </c>
      <c r="E33" s="57" t="n">
        <f aca="false">C33*D33</f>
        <v>1.6</v>
      </c>
      <c r="F33" s="55" t="s">
        <v>183</v>
      </c>
    </row>
    <row r="34" customFormat="false" ht="15" hidden="false" customHeight="true" outlineLevel="0" collapsed="false">
      <c r="D34" s="28" t="s">
        <v>200</v>
      </c>
      <c r="E34" s="30" t="n">
        <f aca="false">SUM(E4:E33)</f>
        <v>56.21</v>
      </c>
    </row>
    <row r="35" customFormat="false" ht="15" hidden="false" customHeight="true" outlineLevel="0" collapsed="false">
      <c r="A35" s="58" t="s">
        <v>201</v>
      </c>
      <c r="E35" s="59" t="n">
        <f aca="false">E34-BOM!J46</f>
        <v>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88"/>
  </cols>
  <sheetData>
    <row r="1" customFormat="false" ht="19.5" hidden="false" customHeight="true" outlineLevel="0" collapsed="false">
      <c r="A1" s="2" t="s">
        <v>202</v>
      </c>
      <c r="B1" s="2"/>
    </row>
    <row r="3" customFormat="false" ht="15" hidden="false" customHeight="true" outlineLevel="0" collapsed="false">
      <c r="A3" s="60" t="s">
        <v>2</v>
      </c>
      <c r="B3" s="60" t="s">
        <v>203</v>
      </c>
    </row>
    <row r="4" customFormat="false" ht="21.75" hidden="false" customHeight="true" outlineLevel="0" collapsed="false">
      <c r="A4" s="54" t="s">
        <v>204</v>
      </c>
      <c r="B4" s="55" t="s">
        <v>205</v>
      </c>
    </row>
    <row r="5" customFormat="false" ht="21.75" hidden="false" customHeight="true" outlineLevel="0" collapsed="false">
      <c r="A5" s="54" t="s">
        <v>206</v>
      </c>
      <c r="B5" s="55" t="s">
        <v>207</v>
      </c>
    </row>
    <row r="6" customFormat="false" ht="21.75" hidden="false" customHeight="true" outlineLevel="0" collapsed="false">
      <c r="A6" s="54" t="s">
        <v>208</v>
      </c>
      <c r="B6" s="55" t="s">
        <v>209</v>
      </c>
    </row>
    <row r="7" customFormat="false" ht="21.75" hidden="false" customHeight="true" outlineLevel="0" collapsed="false">
      <c r="A7" s="54" t="s">
        <v>210</v>
      </c>
      <c r="B7" s="55" t="s">
        <v>211</v>
      </c>
    </row>
    <row r="8" customFormat="false" ht="21.75" hidden="false" customHeight="true" outlineLevel="0" collapsed="false">
      <c r="A8" s="54" t="s">
        <v>212</v>
      </c>
      <c r="B8" s="55" t="s">
        <v>213</v>
      </c>
    </row>
    <row r="9" customFormat="false" ht="21.75" hidden="false" customHeight="true" outlineLevel="0" collapsed="false">
      <c r="A9" s="54" t="s">
        <v>214</v>
      </c>
      <c r="B9" s="55" t="s">
        <v>215</v>
      </c>
    </row>
    <row r="10" customFormat="false" ht="21.75" hidden="false" customHeight="true" outlineLevel="0" collapsed="false">
      <c r="A10" s="54" t="s">
        <v>216</v>
      </c>
      <c r="B10" s="55" t="s">
        <v>217</v>
      </c>
    </row>
    <row r="11" customFormat="false" ht="21.75" hidden="false" customHeight="true" outlineLevel="0" collapsed="false">
      <c r="A11" s="54" t="s">
        <v>218</v>
      </c>
      <c r="B11" s="55" t="s">
        <v>219</v>
      </c>
    </row>
    <row r="12" customFormat="false" ht="21.75" hidden="false" customHeight="true" outlineLevel="0" collapsed="false">
      <c r="A12" s="61" t="s">
        <v>220</v>
      </c>
      <c r="B12" s="62" t="s">
        <v>221</v>
      </c>
    </row>
    <row r="13" customFormat="false" ht="21.75" hidden="false" customHeight="true" outlineLevel="0" collapsed="false">
      <c r="A13" s="61" t="s">
        <v>222</v>
      </c>
      <c r="B13" s="62" t="s">
        <v>223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2026-09-21T17:53:30Z</dcterms:created>
  <dc:creator>openpyxl</dc:creator>
  <dc:description/>
  <dc:language>en-US</dc:language>
  <cp:lastModifiedBy/>
  <dcterms:modified xsi:type="dcterms:W3CDTF">2026-09-22T04:39:13Z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